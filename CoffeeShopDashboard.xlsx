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etra\Documents\"/>
    </mc:Choice>
  </mc:AlternateContent>
  <xr:revisionPtr revIDLastSave="0" documentId="13_ncr:1_{2980CA1E-455E-4453-9FA2-3702C684676D}" xr6:coauthVersionLast="47" xr6:coauthVersionMax="47" xr10:uidLastSave="{00000000-0000-0000-0000-000000000000}"/>
  <bookViews>
    <workbookView showHorizontalScroll="0" showVerticalScroll="0" showSheetTabs="0" xWindow="-108" yWindow="-108" windowWidth="23256" windowHeight="1257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<sst xmlns="http://schemas.openxmlformats.org/spreadsheetml/2006/main" count="11132" uniqueCount="6223">
  <si>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</si>
  <si>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</si>
  <si>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</si>
  <si>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</si>
  <si>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</si>
  <si>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</si>
  <si>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</si>
  <si>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</si>
  <si>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</si>
  <si>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</si>
  <si>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</si>
  <si>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</si>
  <si>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</si>
  <si>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</si>
  <si>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</si>
  <si>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</si>
  <si>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</si>
  <si>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</si>
  <si>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</si>
  <si>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</si>
  <si>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</si>
  <si>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</si>
  <si>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</si>
  <si>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</si>
  <si>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</si>
  <si>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</si>
  <si>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</si>
  <si>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</si>
  <si>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</si>
  <si>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</si>
  <si>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</si>
  <si>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</si>
  <si>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</si>
  <si>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</si>
  <si>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</si>
  <si>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</si>
  <si>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</si>
  <si>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</si>
  <si>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</si>
  <si>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</si>
  <si>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</si>
  <si>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</si>
  <si>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</si>
  <si>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</si>
  <si>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</si>
  <si>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</si>
  <si>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</si>
  <si>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</si>
  <si>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</si>
  <si>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</si>
  <si>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</si>
  <si>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</si>
  <si>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</si>
  <si>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</si>
  <si>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</si>
  <si>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</si>
  <si>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</si>
  <si>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</si>
  <si>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</si>
  <si>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</si>
  <si>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</si>
  <si>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</si>
  <si>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</si>
  <si>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</si>
  <si>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</si>
  <si>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</si>
  <si>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</si>
  <si>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</si>
  <si>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</si>
  <si>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</si>
  <si>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</si>
  <si>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</si>
  <si>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</si>
  <si>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</si>
  <si>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</si>
  <si>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</si>
  <si>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</si>
  <si>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</si>
  <si>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</si>
  <si>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</si>
  <si>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</si>
  <si>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</si>
  <si>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</si>
  <si>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</si>
  <si>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</si>
  <si>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</si>
  <si>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</si>
  <si>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</si>
  <si>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</si>
  <si>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</si>
  <si>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</si>
  <si>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</si>
  <si>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</si>
  <si>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</si>
  <si>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</si>
  <si>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</si>
  <si>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</si>
  <si>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</si>
  <si>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</si>
  <si>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</si>
  <si>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</si>
  <si>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</si>
  <si>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</si>
  <si>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</si>
  <si>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</si>
  <si>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</si>
  <si>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</si>
  <si>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</si>
  <si>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</si>
  <si>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</si>
  <si>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</si>
  <si>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</si>
  <si>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</si>
  <si>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</si>
  <si>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</si>
  <si>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</si>
  <si>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</si>
  <si>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</si>
  <si>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</si>
  <si>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</si>
  <si>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</si>
  <si>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</si>
  <si>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</si>
  <si>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</si>
  <si>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</si>
  <si>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</si>
  <si>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</si>
  <si>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</si>
  <si>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</si>
  <si>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</si>
  <si>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</si>
  <si>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</si>
  <si>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</si>
  <si>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</si>
  <si>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</si>
  <si>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</si>
  <si>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</si>
  <si>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</si>
  <si>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</si>
  <si>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</si>
  <si>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</si>
  <si>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</si>
  <si>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</si>
  <si>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</si>
  <si>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</si>
  <si>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</si>
  <si>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</si>
  <si>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</si>
  <si>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</si>
  <si>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</si>
  <si>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</si>
  <si>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</si>
  <si>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</si>
  <si>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</si>
  <si>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</si>
  <si>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</si>
  <si>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</si>
  <si>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</si>
  <si>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</si>
  <si>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</si>
  <si>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</si>
  <si>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</si>
  <si>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</si>
  <si>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</si>
  <si>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</si>
  <si>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</si>
  <si>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</si>
  <si>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</si>
  <si>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</si>
  <si>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</si>
  <si>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</si>
  <si>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</si>
  <si>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</si>
  <si>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</si>
  <si>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</si>
  <si>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</si>
  <si>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</si>
  <si>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</si>
  <si>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</si>
  <si>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</si>
  <si>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</si>
  <si>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</si>
  <si>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</si>
  <si>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</si>
  <si>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</si>
  <si>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</si>
  <si>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</si>
  <si>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</si>
  <si>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</si>
  <si>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</si>
  <si>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</si>
  <si>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</si>
  <si>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</si>
  <si>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</si>
  <si>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</si>
  <si>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</si>
  <si>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</si>
  <si>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</si>
  <si>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</si>
  <si>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</si>
  <si>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</si>
  <si>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</si>
  <si>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</si>
  <si>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</si>
  <si>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</si>
  <si>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</si>
  <si>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</si>
  <si>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</si>
  <si>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</si>
  <si>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</si>
  <si>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</si>
  <si>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</si>
  <si>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</si>
  <si>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</si>
  <si>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</si>
  <si>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</si>
  <si>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</si>
  <si>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</si>
  <si>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</si>
  <si>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</si>
  <si>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</si>
  <si>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</si>
  <si>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</si>
  <si>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</si>
  <si>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</si>
  <si>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</si>
  <si>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</si>
  <si>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</si>
  <si>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</si>
  <si>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</si>
  <si>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</si>
  <si>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</si>
  <si>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</si>
  <si>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</si>
  <si>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</si>
  <si>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</si>
  <si>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</si>
  <si>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</si>
  <si>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</si>
  <si>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</si>
  <si>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</si>
  <si>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</si>
  <si>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</si>
  <si>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</si>
  <si>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</si>
  <si>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</si>
  <si>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</si>
  <si>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</si>
  <si>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</si>
  <si>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</si>
  <si>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</si>
  <si>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</si>
  <si>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</si>
  <si>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</si>
  <si>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</si>
  <si>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</si>
  <si>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</si>
  <si>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</si>
  <si>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</si>
  <si>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</si>
  <si>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</si>
  <si>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</si>
  <si>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</si>
  <si>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</si>
  <si>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</si>
  <si>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</si>
  <si>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</si>
  <si>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</si>
  <si>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</si>
  <si>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</si>
  <si>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</si>
  <si>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</si>
  <si>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</si>
  <si>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</si>
  <si>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</si>
  <si>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</si>
  <si>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</si>
  <si>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</si>
  <si>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</si>
  <si>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</si>
  <si>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</si>
  <si>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</si>
  <si>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</si>
  <si>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</si>
  <si>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</si>
  <si>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</si>
  <si>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</si>
  <si>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</si>
  <si>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</si>
  <si>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</si>
  <si>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</si>
  <si>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</si>
  <si>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</si>
  <si>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</si>
  <si>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</si>
  <si>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</si>
  <si>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</si>
  <si>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</si>
  <si>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</si>
  <si>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</si>
  <si>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</si>
  <si>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</si>
  <si>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</si>
  <si>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</si>
  <si>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</si>
  <si>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</si>
  <si>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</si>
  <si>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</si>
  <si>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</si>
  <si>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</si>
  <si>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</si>
  <si>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</si>
  <si>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</si>
  <si>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</si>
  <si>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</si>
  <si>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</si>
  <si>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</si>
  <si>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</si>
  <si>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</si>
  <si>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</si>
  <si>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</si>
  <si>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</si>
  <si>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</si>
  <si>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</si>
  <si>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</si>
  <si>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</si>
  <si>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</si>
  <si>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</si>
  <si>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</si>
  <si>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</si>
  <si>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</si>
  <si>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</si>
  <si>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</si>
  <si>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</si>
  <si>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</si>
  <si>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</si>
  <si>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</si>
  <si>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</si>
  <si>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</si>
  <si>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</si>
  <si>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</si>
  <si>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</si>
  <si>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</si>
  <si>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</si>
  <si>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</si>
  <si>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</si>
  <si>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</si>
  <si>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</si>
  <si>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</si>
  <si>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</si>
  <si>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</si>
  <si>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</si>
  <si>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</si>
  <si>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</si>
  <si>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</si>
  <si>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</si>
  <si>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</si>
  <si>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</si>
  <si>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</si>
  <si>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</si>
  <si>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</si>
  <si>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</si>
  <si>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</si>
  <si>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</si>
  <si>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</si>
  <si>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</si>
  <si>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</si>
  <si>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</si>
  <si>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</si>
  <si>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</si>
  <si>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</si>
  <si>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</si>
  <si>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</si>
  <si>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</si>
  <si>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</si>
  <si>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</si>
  <si>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</si>
  <si>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</si>
  <si>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</si>
  <si>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</si>
  <si>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</si>
  <si>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</si>
  <si>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</si>
  <si>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</si>
  <si>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</si>
  <si>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</si>
  <si>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</si>
  <si>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</si>
  <si>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</si>
  <si>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</si>
  <si>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</si>
  <si>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</si>
  <si>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</si>
  <si>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</si>
  <si>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</si>
  <si>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</si>
  <si>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</si>
  <si>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</si>
  <si>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</si>
  <si>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</si>
  <si>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</si>
  <si>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</si>
  <si>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</si>
  <si>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</si>
  <si>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</si>
  <si>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</si>
  <si>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</si>
  <si>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</si>
  <si>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</si>
  <si>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</si>
  <si>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</si>
  <si>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</si>
  <si>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</si>
  <si>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</si>
  <si>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</si>
  <si>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</si>
  <si>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</si>
  <si>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</si>
  <si>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</si>
  <si>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</si>
  <si>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</si>
  <si>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</si>
  <si>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</si>
  <si>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</si>
  <si>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</si>
  <si>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</si>
  <si>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</si>
  <si>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</si>
  <si>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</si>
  <si>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</si>
  <si>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</si>
  <si>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</si>
  <si>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</si>
  <si>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</si>
  <si>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</si>
  <si>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</si>
  <si>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</si>
  <si>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</si>
  <si>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</si>
  <si>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</si>
  <si>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</si>
  <si>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</si>
  <si>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</si>
  <si>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</si>
  <si>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</si>
  <si>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</si>
  <si>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</si>
  <si>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</si>
  <si>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</si>
  <si>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</si>
  <si>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</si>
  <si>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</si>
  <si>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</si>
  <si>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</si>
  <si>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</si>
  <si>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</si>
  <si>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</si>
  <si>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</si>
  <si>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</si>
  <si>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</si>
  <si>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</si>
  <si>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</si>
  <si>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</si>
  <si>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</si>
  <si>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</si>
  <si>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</si>
  <si>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</si>
  <si>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</si>
  <si>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</si>
  <si>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</si>
  <si>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</si>
  <si>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</si>
  <si>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</si>
  <si>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</si>
  <si>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</si>
  <si>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</si>
  <si>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</si>
  <si>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</si>
  <si>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</si>
  <si>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</si>
  <si>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</si>
  <si>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</si>
  <si>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</si>
  <si>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</si>
  <si>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</si>
  <si>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</si>
  <si>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</si>
  <si>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</si>
  <si>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</si>
  <si>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</si>
  <si>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</si>
  <si>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</si>
  <si>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</si>
  <si>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</si>
  <si>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</si>
  <si>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</si>
  <si>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</si>
  <si>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</si>
  <si>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</si>
  <si>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</si>
  <si>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</si>
  <si>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</si>
  <si>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</si>
  <si>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</si>
  <si>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</si>
  <si>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</si>
  <si>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</si>
  <si>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</si>
  <si>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</si>
  <si>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</si>
  <si>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</si>
  <si>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</si>
  <si>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</si>
  <si>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</si>
  <si>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</si>
  <si>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</si>
  <si>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</si>
  <si>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</si>
  <si>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</si>
  <si>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</si>
  <si>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</si>
  <si>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</si>
  <si>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</si>
  <si>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</si>
  <si>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</si>
  <si>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</si>
  <si>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</si>
  <si>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</si>
  <si>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</si>
  <si>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</si>
  <si>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</si>
  <si>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</si>
  <si>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</si>
  <si>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</si>
  <si>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</si>
  <si>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</si>
  <si>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</si>
  <si>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</si>
  <si>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</si>
  <si>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</si>
  <si>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</si>
  <si>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</si>
  <si>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</si>
  <si>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</si>
  <si>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</si>
  <si>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</si>
  <si>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</si>
  <si>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</si>
  <si>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</si>
  <si>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</si>
  <si>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</si>
  <si>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</si>
  <si>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</si>
  <si>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</si>
  <si>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</si>
  <si>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</si>
  <si>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</si>
  <si>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</si>
  <si>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</si>
  <si>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</si>
  <si>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</si>
  <si>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</si>
  <si>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</si>
  <si>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</si>
  <si>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</si>
  <si>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</si>
  <si>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</si>
  <si>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</si>
  <si>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</si>
  <si>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</si>
  <si>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</si>
  <si>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</si>
  <si>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</si>
  <si>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</si>
  <si>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</si>
  <si>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</si>
  <si>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</si>
  <si>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</si>
  <si>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</si>
  <si>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</si>
  <si>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</si>
  <si>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</si>
  <si>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</si>
  <si>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</si>
  <si>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</si>
  <si>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</si>
  <si>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</si>
  <si>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</si>
  <si>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</si>
  <si>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</si>
  <si>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</si>
  <si>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</si>
  <si>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</si>
  <si>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</si>
  <si>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</si>
  <si>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</si>
  <si>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</si>
  <si>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</si>
  <si>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</si>
  <si>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</si>
  <si>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</si>
  <si>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</si>
  <si>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</si>
  <si>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</si>
  <si>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</si>
  <si>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</si>
  <si>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</si>
  <si>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</si>
  <si>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</si>
  <si>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</si>
  <si>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</si>
  <si>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</si>
  <si>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</si>
  <si>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</si>
  <si>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</si>
  <si>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</si>
  <si>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</si>
  <si>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</si>
  <si>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</si>
  <si>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</si>
  <si>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</si>
  <si>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</si>
  <si>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</si>
  <si>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</si>
  <si>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</si>
  <si>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</si>
  <si>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</si>
  <si>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</si>
  <si>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</si>
  <si>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</si>
  <si>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</si>
  <si>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</si>
  <si>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</si>
  <si>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</si>
  <si>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</si>
  <si>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</si>
  <si>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</si>
  <si>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</si>
  <si>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</si>
  <si>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</si>
  <si>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</si>
  <si>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</si>
  <si>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</si>
  <si>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</si>
  <si>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</si>
  <si>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</si>
  <si>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</si>
  <si>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</si>
  <si>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</si>
  <si>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</si>
  <si>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</si>
  <si>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</si>
  <si>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</si>
  <si>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</si>
  <si>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</si>
  <si>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</si>
  <si>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</si>
  <si>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</si>
  <si>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</si>
  <si>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</si>
  <si>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</si>
  <si>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</si>
  <si>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</si>
  <si>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</si>
  <si>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</si>
  <si>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</si>
  <si>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</si>
  <si>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</si>
  <si>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</si>
  <si>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</si>
  <si>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</si>
  <si>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</si>
  <si>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</si>
  <si>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</si>
  <si>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</si>
  <si>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</si>
  <si>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</si>
  <si>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</si>
  <si>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</si>
  <si>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</si>
  <si>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</si>
  <si>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</si>
  <si>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</si>
  <si>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</si>
  <si>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</si>
  <si>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</si>
  <si>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</si>
  <si>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</si>
  <si>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</si>
  <si>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</si>
  <si>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</si>
  <si>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</si>
  <si>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</si>
  <si>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</si>
  <si>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</si>
  <si>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</si>
  <si>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</si>
  <si>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</si>
  <si>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</si>
  <si>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</si>
  <si>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</si>
  <si>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</si>
  <si>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</si>
  <si>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</si>
  <si>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</si>
  <si>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</si>
  <si>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</si>
  <si>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</si>
  <si>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</si>
  <si>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</si>
  <si>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</si>
  <si>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</si>
  <si>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</si>
  <si>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</si>
  <si>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</si>
  <si>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</si>
  <si>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</si>
  <si>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</si>
  <si>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</si>
  <si>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</si>
  <si>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</si>
  <si>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</si>
  <si>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</si>
  <si>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</si>
  <si>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</si>
  <si>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</si>
  <si>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</si>
  <si>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</si>
  <si>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</si>
  <si>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</si>
  <si>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</si>
  <si>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</si>
  <si>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</si>
  <si>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</si>
  <si>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</si>
  <si>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</si>
  <si>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</si>
  <si>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</si>
  <si>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</si>
  <si>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</si>
  <si>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</si>
  <si>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</si>
  <si>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</si>
  <si>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</si>
  <si>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</si>
  <si>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</si>
  <si>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</si>
  <si>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</si>
  <si>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</si>
  <si>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</si>
  <si>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</si>
  <si>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</si>
  <si>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</si>
  <si>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</si>
  <si>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</si>
  <si>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</si>
  <si>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</si>
  <si>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</si>
  <si>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</si>
  <si>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</si>
  <si>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</si>
  <si>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</si>
  <si>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</si>
  <si>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</si>
  <si>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</si>
  <si>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</si>
  <si>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</si>
  <si>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</si>
  <si>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</si>
  <si>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</si>
  <si>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</si>
  <si>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</si>
  <si>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</si>
  <si>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</si>
  <si>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</si>
  <si>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</si>
  <si>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</si>
  <si>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</si>
  <si>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</si>
  <si>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</si>
  <si>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</si>
  <si>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</si>
  <si>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</si>
  <si>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</si>
  <si>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</si>
  <si>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</si>
  <si>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</si>
  <si>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</si>
  <si>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</si>
  <si>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</si>
  <si>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</si>
  <si>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</si>
  <si>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</si>
  <si>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</si>
  <si>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</si>
  <si>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</si>
  <si>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</si>
  <si>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</si>
  <si>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</si>
  <si>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</si>
  <si>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</si>
  <si>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</si>
  <si>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</si>
  <si>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</si>
  <si>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</si>
  <si>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</si>
  <si>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</si>
  <si>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</si>
  <si>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</si>
  <si>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</si>
  <si>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</si>
  <si>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</si>
  <si>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</si>
  <si>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</si>
  <si>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</si>
  <si>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</si>
  <si>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</si>
  <si>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</si>
  <si>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</si>
  <si>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</si>
  <si>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</si>
  <si>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</si>
  <si>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</si>
  <si>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</si>
  <si>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</si>
  <si>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</si>
  <si>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</si>
  <si>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</si>
  <si>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</si>
  <si>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</si>
  <si>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</si>
  <si>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</si>
  <si>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</si>
  <si>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</si>
  <si>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</si>
  <si>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</si>
  <si>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</si>
  <si>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</si>
  <si>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</si>
  <si>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</si>
  <si>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</si>
  <si>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</si>
  <si>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</si>
  <si>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</si>
  <si>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</si>
  <si>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</si>
  <si>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</si>
  <si>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</si>
  <si>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</si>
  <si>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</si>
  <si>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</si>
  <si>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</si>
  <si>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</si>
  <si>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</si>
  <si>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</si>
  <si>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</si>
  <si>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</si>
  <si>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</si>
  <si>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</si>
  <si>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</si>
  <si>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</si>
  <si>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</si>
  <si>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</si>
  <si>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</si>
  <si>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</si>
  <si>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</si>
  <si>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</si>
  <si>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</si>
  <si>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</si>
  <si>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</si>
  <si>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</si>
  <si>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</si>
  <si>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</si>
  <si>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</si>
  <si>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</si>
  <si>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</si>
  <si>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</si>
  <si>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</si>
  <si>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</si>
  <si>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</si>
  <si>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</si>
  <si>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</si>
  <si>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</si>
  <si>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</si>
  <si>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</si>
  <si>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</si>
  <si>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</si>
  <si>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</si>
  <si>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</si>
  <si>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</si>
  <si>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</si>
  <si>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</si>
  <si>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</si>
  <si>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</si>
  <si>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</si>
  <si>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</si>
  <si>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</si>
  <si>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</si>
  <si>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</si>
  <si>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</si>
  <si>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</si>
  <si>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</si>
  <si>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</si>
  <si>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</si>
  <si>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</si>
  <si>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</si>
  <si>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</si>
  <si>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</si>
  <si>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</si>
  <si>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</si>
  <si>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</si>
  <si>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</si>
  <si>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</si>
  <si>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</si>
  <si>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</si>
  <si>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</si>
  <si>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</si>
  <si>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</si>
  <si>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</si>
  <si>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</si>
  <si>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</si>
  <si>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</si>
  <si>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</si>
  <si>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</si>
  <si>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</si>
  <si>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</si>
  <si>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</si>
  <si>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</si>
  <si>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</si>
  <si>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</si>
  <si>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</si>
  <si>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</si>
  <si>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</si>
  <si>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</si>
  <si>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</si>
  <si>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</si>
  <si>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</si>
  <si>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</si>
  <si>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</si>
  <si>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</si>
  <si>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</si>
  <si>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</si>
  <si>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</si>
  <si>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</si>
  <si>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</si>
  <si>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</si>
  <si>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</si>
  <si>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</si>
  <si>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</si>
  <si>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</si>
  <si>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</si>
  <si>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</si>
  <si>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</si>
  <si>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</si>
  <si>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</si>
  <si>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</si>
  <si>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</si>
  <si>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</si>
  <si>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</si>
  <si>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</si>
  <si>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</si>
  <si>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</si>
  <si>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</si>
  <si>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</si>
  <si>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</si>
  <si>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</si>
  <si>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</si>
  <si>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</si>
  <si>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</si>
  <si>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</si>
  <si>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</si>
  <si>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</si>
  <si>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</si>
  <si>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</si>
  <si>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</si>
  <si>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</si>
  <si>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</si>
  <si>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</si>
  <si>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</si>
  <si>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</si>
  <si>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</si>
  <si>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</si>
  <si>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</si>
  <si>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</si>
  <si>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</si>
  <si>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</si>
  <si>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</si>
  <si>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</si>
  <si>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</si>
  <si>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</si>
  <si>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</si>
  <si>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</si>
  <si>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</si>
  <si>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</si>
  <si>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</si>
  <si>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</si>
  <si>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</si>
  <si>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</si>
  <si>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</si>
  <si>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</si>
  <si>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</si>
  <si>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</si>
  <si>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</si>
  <si>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</si>
  <si>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</si>
  <si>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</si>
  <si>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</si>
  <si>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</si>
  <si>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</si>
  <si>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</si>
  <si>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</si>
  <si>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</si>
  <si>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</si>
  <si>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</si>
  <si>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</si>
  <si>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</si>
  <si>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</si>
  <si>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</si>
  <si>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</si>
  <si>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</si>
  <si>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</si>
  <si>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</si>
  <si>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</si>
  <si>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</si>
  <si>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</si>
  <si>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</si>
  <si>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</si>
  <si>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</si>
  <si>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</si>
  <si>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</si>
  <si>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</si>
  <si>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</si>
  <si>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</si>
  <si>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</si>
  <si>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</si>
  <si>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</si>
  <si>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</si>
  <si>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</si>
  <si>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</si>
  <si>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</si>
  <si>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</si>
  <si>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</si>
  <si>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</si>
  <si>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</si>
  <si>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</si>
  <si>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</si>
  <si>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</si>
  <si>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</si>
  <si>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</si>
  <si>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</si>
  <si>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</si>
  <si>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</si>
  <si>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</si>
  <si>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</si>
  <si>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</si>
  <si>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</si>
  <si>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</si>
  <si>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</si>
  <si>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</si>
  <si>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</si>
  <si>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</si>
  <si>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</si>
  <si>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</si>
  <si>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</si>
  <si>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</si>
  <si>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</si>
  <si>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</si>
  <si>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</si>
  <si>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</si>
  <si>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</si>
  <si>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</si>
  <si>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</si>
  <si>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</si>
  <si>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</si>
  <si>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</si>
  <si>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</si>
  <si>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</si>
  <si>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</si>
  <si>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</si>
  <si>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</si>
  <si>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</si>
  <si>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</si>
  <si>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</si>
  <si>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</si>
  <si>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</si>
  <si>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</si>
  <si>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</si>
  <si>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</si>
  <si>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</si>
  <si>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</si>
  <si>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</si>
  <si>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</si>
  <si>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</si>
  <si>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</si>
  <si>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</si>
  <si>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</si>
  <si>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</si>
  <si>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</si>
  <si>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</si>
  <si>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</si>
  <si>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</si>
  <si>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</si>
  <si>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</si>
  <si>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</si>
  <si>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</si>
  <si>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</si>
  <si>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</si>
  <si>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</si>
  <si>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</si>
  <si>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</si>
  <si>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</si>
  <si>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</si>
  <si>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</si>
  <si>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</si>
  <si>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</si>
  <si>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</si>
  <si>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</si>
  <si>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</si>
  <si>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</si>
  <si>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</si>
  <si>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</si>
  <si>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</si>
  <si>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</si>
  <si>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</si>
  <si>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</si>
  <si>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</si>
  <si>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</si>
  <si>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</si>
  <si>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</si>
  <si>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</si>
  <si>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</si>
  <si>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</si>
  <si>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</si>
  <si>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</si>
  <si>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</si>
  <si>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</si>
  <si>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</si>
  <si>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</si>
  <si>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</si>
  <si>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</si>
  <si>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</si>
  <si>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</si>
  <si>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</si>
  <si>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</si>
  <si>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</si>
  <si>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</si>
  <si>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</si>
  <si>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</si>
  <si>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</si>
  <si>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</si>
  <si>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</si>
  <si>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</si>
  <si>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</si>
  <si>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</si>
  <si>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</si>
  <si>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</si>
  <si>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</si>
  <si>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</si>
  <si>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</si>
  <si>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</si>
  <si>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</si>
  <si>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</si>
  <si>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</si>
  <si>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</si>
  <si>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</si>
  <si>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</si>
  <si>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</si>
  <si>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</si>
  <si>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</si>
  <si>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</si>
  <si>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</si>
  <si>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</si>
  <si>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</si>
  <si>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</si>
  <si>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</si>
  <si>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</si>
  <si>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</si>
  <si>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</si>
  <si>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</si>
  <si>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</si>
  <si>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</si>
  <si>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</si>
  <si>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</si>
  <si>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</si>
  <si>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</si>
  <si>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</si>
  <si>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</si>
  <si>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</si>
  <si>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</si>
  <si>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</si>
  <si>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</si>
  <si>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</si>
  <si>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</si>
  <si>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</si>
  <si>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</si>
  <si>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</si>
  <si>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</si>
  <si>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</si>
  <si>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</si>
  <si>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</si>
  <si>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</si>
  <si>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</si>
  <si>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</si>
  <si>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</si>
  <si>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</si>
  <si>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</si>
  <si>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</si>
  <si>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</si>
  <si>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</si>
  <si>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</si>
  <si>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</si>
  <si>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</si>
  <si>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</si>
  <si>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</si>
  <si>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</si>
  <si>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</si>
  <si>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</si>
  <si>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</si>
  <si>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</si>
  <si>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</si>
  <si>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</si>
  <si>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</si>
  <si>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</si>
  <si>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</si>
  <si>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</si>
  <si>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</si>
  <si>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</si>
  <si>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</si>
  <si>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</si>
  <si>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</si>
  <si>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</si>
  <si>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</si>
  <si>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</si>
  <si>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</si>
  <si>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</si>
  <si>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</si>
  <si>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</si>
  <si>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</si>
  <si>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</si>
  <si>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</si>
  <si>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</si>
  <si>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</si>
  <si>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</si>
  <si>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</si>
  <si>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</si>
  <si>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</si>
  <si>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</si>
  <si>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</si>
  <si>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</si>
  <si>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</si>
  <si>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</si>
  <si>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</si>
  <si>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</si>
  <si>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</si>
  <si>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</si>
  <si>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</si>
  <si>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</si>
  <si>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</si>
  <si>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</si>
  <si>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</si>
  <si>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</si>
  <si>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</si>
  <si>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</si>
  <si>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</si>
  <si>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</si>
  <si>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</si>
  <si>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</si>
  <si>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</si>
  <si>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</si>
  <si>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</si>
  <si>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</si>
  <si>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</si>
  <si>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</si>
  <si>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</si>
  <si>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</si>
  <si>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</si>
  <si>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</si>
  <si>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</si>
  <si>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</si>
  <si>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</si>
  <si>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</si>
  <si>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</si>
  <si>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</si>
  <si>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</si>
  <si>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</si>
  <si>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</si>
  <si>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</si>
  <si>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</si>
  <si>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</si>
  <si>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</si>
  <si>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</si>
  <si>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</si>
  <si>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</si>
  <si>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</si>
  <si>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</si>
  <si>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</si>
  <si>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</si>
  <si>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</si>
  <si>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</si>
  <si>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</si>
  <si>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</si>
  <si>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</si>
  <si>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</si>
  <si>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</si>
  <si>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</si>
  <si>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</si>
  <si>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</si>
  <si>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</si>
  <si>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</si>
  <si>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</si>
  <si>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</si>
  <si>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</si>
  <si>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</si>
  <si>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</si>
  <si>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</si>
  <si>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</si>
  <si>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</si>
  <si>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</si>
  <si>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</si>
  <si>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</si>
  <si>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</si>
  <si>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</si>
  <si>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</si>
  <si>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</si>
  <si>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</si>
  <si>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</si>
  <si>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</si>
  <si>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</si>
  <si>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</si>
  <si>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</si>
  <si>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</si>
  <si>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</si>
  <si>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</si>
  <si>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</si>
  <si>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</si>
  <si>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</si>
  <si>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</si>
  <si>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</si>
  <si>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</si>
  <si>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</si>
  <si>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</si>
  <si>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</si>
  <si>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</si>
  <si>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</si>
  <si>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</si>
  <si>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</si>
  <si>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</si>
  <si>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</si>
  <si>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</si>
  <si>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</si>
  <si>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</si>
  <si>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</si>
  <si>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</si>
  <si>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</si>
  <si>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</si>
  <si>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</si>
  <si>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</si>
  <si>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</si>
  <si>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</si>
  <si>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</si>
  <si>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</si>
  <si>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</si>
  <si>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</si>
  <si>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</si>
  <si>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</si>
  <si>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</si>
  <si>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</si>
  <si>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</si>
  <si>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</si>
  <si>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</si>
  <si>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</si>
  <si>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</si>
  <si>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</si>
  <si>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</si>
  <si>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</si>
  <si>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</si>
  <si>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</si>
  <si>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</si>
  <si>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</si>
  <si>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</si>
  <si>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</si>
  <si>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</si>
  <si>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</si>
  <si>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</si>
  <si>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</si>
  <si>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</si>
  <si>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</si>
  <si>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</si>
  <si>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</si>
  <si>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</si>
  <si>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</si>
  <si>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</si>
  <si>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</si>
  <si>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</si>
  <si>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</si>
  <si>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</si>
  <si>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</si>
  <si>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</si>
  <si>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</si>
  <si>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</si>
  <si>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</si>
  <si>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</si>
  <si>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</si>
  <si>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</si>
  <si>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</si>
  <si>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</si>
  <si>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</si>
  <si>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</si>
  <si>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</si>
  <si>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</si>
  <si>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</si>
  <si>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</si>
  <si>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</si>
  <si>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</si>
  <si>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</si>
  <si>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</si>
  <si>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</si>
  <si>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</si>
  <si>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</si>
  <si>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</si>
  <si>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</si>
  <si>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</si>
  <si>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</si>
  <si>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</si>
  <si>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</si>
  <si>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</si>
  <si>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</si>
  <si>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</si>
  <si>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</si>
  <si>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</si>
  <si>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</si>
  <si>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</si>
  <si>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</si>
  <si>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</si>
  <si>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</si>
  <si>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</si>
  <si>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</si>
  <si>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</si>
  <si>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</si>
  <si>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</si>
  <si>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</si>
  <si>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</si>
  <si>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</si>
  <si>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</si>
  <si>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</si>
  <si>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</si>
  <si>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</si>
  <si>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</si>
  <si>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</si>
  <si>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</si>
  <si>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</si>
  <si>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</si>
  <si>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</si>
  <si>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</si>
  <si>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</si>
  <si>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</si>
  <si>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</si>
  <si>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</si>
  <si>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</si>
  <si>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</si>
  <si>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</si>
  <si>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</si>
  <si>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</si>
  <si>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</si>
  <si>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</si>
  <si>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</si>
  <si>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</si>
  <si>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</si>
  <si>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</si>
  <si>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</si>
  <si>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</si>
  <si>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</si>
  <si>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</si>
  <si>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</si>
  <si>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</si>
  <si>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</si>
  <si>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</si>
  <si>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</si>
  <si>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</si>
  <si>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</si>
  <si>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</si>
  <si>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</si>
  <si>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</si>
  <si>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</si>
  <si>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</si>
  <si>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</si>
  <si>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</si>
  <si>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</si>
  <si>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</si>
  <si>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</si>
  <si>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</si>
  <si>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</si>
  <si>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</si>
  <si>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</si>
  <si>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</si>
  <si>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</si>
  <si>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</si>
  <si>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</si>
  <si>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</si>
  <si>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</si>
  <si>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</si>
  <si>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</si>
  <si>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</si>
  <si>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</si>
  <si>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</si>
  <si>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</si>
  <si>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</si>
  <si>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</si>
  <si>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</si>
  <si>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</si>
  <si>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</si>
  <si>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</si>
  <si>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</si>
  <si>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</si>
  <si>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</si>
  <si>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</si>
  <si>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</si>
  <si>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</si>
  <si>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</si>
  <si>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</si>
  <si>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</si>
  <si>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</si>
  <si>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</si>
  <si>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</si>
  <si>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</si>
  <si>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</si>
  <si>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</si>
  <si>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</si>
  <si>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</si>
  <si>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</si>
  <si>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</si>
  <si>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</si>
  <si>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</si>
  <si>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</si>
  <si>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</si>
  <si>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</si>
  <si>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</si>
  <si>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</si>
  <si>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</si>
  <si>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</si>
  <si>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</si>
  <si>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</si>
  <si>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</si>
  <si>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</si>
  <si>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</si>
  <si>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</si>
  <si>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</si>
  <si>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</si>
  <si>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</si>
  <si>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</si>
  <si>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</si>
  <si>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</si>
  <si>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</si>
  <si>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</si>
  <si>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</si>
  <si>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</si>
  <si>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</si>
  <si>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</si>
  <si>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</si>
  <si>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</si>
  <si>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</si>
  <si>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</si>
  <si>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</si>
  <si>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</si>
  <si>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</si>
  <si>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</si>
  <si>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</si>
  <si>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</si>
  <si>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</si>
  <si>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</si>
  <si>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</si>
  <si>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</si>
  <si>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</si>
  <si>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</si>
  <si>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</si>
  <si>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</si>
  <si>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</si>
  <si>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</si>
  <si>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</si>
  <si>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</si>
  <si>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</si>
  <si>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</si>
  <si>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</si>
  <si>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</si>
  <si>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</si>
  <si>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</si>
  <si>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</si>
  <si>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</si>
  <si>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</si>
  <si>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</si>
  <si>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</si>
  <si>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</si>
  <si>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</si>
  <si>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</si>
  <si>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</si>
  <si>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</si>
  <si>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</si>
  <si>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</si>
  <si>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</si>
  <si>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</si>
  <si>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</si>
  <si>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</si>
  <si>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</si>
  <si>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</si>
  <si>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</si>
  <si>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</si>
  <si>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</si>
  <si>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</si>
  <si>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</si>
  <si>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</si>
  <si>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</si>
  <si>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</si>
  <si>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</si>
  <si>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</si>
  <si>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</si>
  <si>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</si>
  <si>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</si>
  <si>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</si>
  <si>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</si>
  <si>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</si>
  <si>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</si>
  <si>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</si>
  <si>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</si>
  <si>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</si>
  <si>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</si>
  <si>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</si>
  <si>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</si>
  <si>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</si>
  <si>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</si>
  <si>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</si>
  <si>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</si>
  <si>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</si>
  <si>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</si>
  <si>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</si>
  <si>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</si>
  <si>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</si>
  <si>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</si>
  <si>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</si>
  <si>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</si>
  <si>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</si>
  <si>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</si>
  <si>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</si>
  <si>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</si>
  <si>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</si>
  <si>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</si>
  <si>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</si>
  <si>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</si>
  <si>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</si>
  <si>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</si>
  <si>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</si>
  <si>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</si>
  <si>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</si>
  <si>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</si>
  <si>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</si>
  <si>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</si>
  <si>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</si>
  <si>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</si>
  <si>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</si>
  <si>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</si>
  <si>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</si>
  <si>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</si>
  <si>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</si>
  <si>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</si>
  <si>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</si>
  <si>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</si>
  <si>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</si>
  <si>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</si>
  <si>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</si>
  <si>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</si>
  <si>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</si>
  <si>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</si>
  <si>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</si>
  <si>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</si>
  <si>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</si>
  <si>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</si>
  <si>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</si>
  <si>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</si>
  <si>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</si>
  <si>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</si>
  <si>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</si>
  <si>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</si>
  <si>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</si>
  <si>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</si>
  <si>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</si>
  <si>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</si>
  <si>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</si>
  <si>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</si>
  <si>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</si>
  <si>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</si>
  <si>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</si>
  <si>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</si>
  <si>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</si>
  <si>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</si>
  <si>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</si>
  <si>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</si>
  <si>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</si>
  <si>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</si>
  <si>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</si>
  <si>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</si>
  <si>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</si>
  <si>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</si>
  <si>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</si>
  <si>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</si>
  <si>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</si>
  <si>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</si>
  <si>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</si>
  <si>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</si>
  <si>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</si>
  <si>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</si>
  <si>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</si>
  <si>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</si>
  <si>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</si>
  <si>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</si>
  <si>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</si>
  <si>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</si>
  <si>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</si>
  <si>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</si>
  <si>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</si>
  <si>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</si>
  <si>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</si>
  <si>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</si>
  <si>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</si>
  <si>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</si>
  <si>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</si>
  <si>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</si>
  <si>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</si>
  <si>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</si>
  <si>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</si>
  <si>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</si>
  <si>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</si>
  <si>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</si>
  <si>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</si>
  <si>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</si>
  <si>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</si>
  <si>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</si>
  <si>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</si>
  <si>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</si>
  <si>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</si>
  <si>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</si>
  <si>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</si>
  <si>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</si>
  <si>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</si>
  <si>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</si>
  <si>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</si>
  <si>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</si>
  <si>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</si>
  <si>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</si>
  <si>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</si>
  <si>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</si>
  <si>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</si>
  <si>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</si>
  <si>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</si>
  <si>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</si>
  <si>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</si>
  <si>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</si>
  <si>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</si>
  <si>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</si>
  <si>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</si>
  <si>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</si>
  <si>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</si>
  <si>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</si>
  <si>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</si>
  <si>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</si>
  <si>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</si>
  <si>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</si>
  <si>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</si>
  <si>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</si>
  <si>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</si>
  <si>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</si>
  <si>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</si>
  <si>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</si>
  <si>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</si>
  <si>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</si>
  <si>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</si>
  <si>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</si>
  <si>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</si>
  <si>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</si>
  <si>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</si>
  <si>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</si>
  <si>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</si>
  <si>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</si>
  <si>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</si>
  <si>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</si>
  <si>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</si>
  <si>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</si>
  <si>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</si>
  <si>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</si>
  <si>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</si>
  <si>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</si>
  <si>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</si>
  <si>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</si>
  <si>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</si>
  <si>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</si>
  <si>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</si>
  <si>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</si>
  <si>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</si>
  <si>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</si>
  <si>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</si>
  <si>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</si>
  <si>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</si>
  <si>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</si>
  <si>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</si>
  <si>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</si>
  <si>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</si>
  <si>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</si>
  <si>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</si>
  <si>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</si>
  <si>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</si>
  <si>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</si>
  <si>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</si>
  <si>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</si>
  <si>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</si>
  <si>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</si>
  <si>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</si>
  <si>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</si>
  <si>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</si>
  <si>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</si>
  <si>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</si>
  <si>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</si>
  <si>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</si>
  <si>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</si>
  <si>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</si>
  <si>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</si>
  <si>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</si>
  <si>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</si>
  <si>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</si>
  <si>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</si>
  <si>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</si>
  <si>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</si>
  <si>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</si>
  <si>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</si>
  <si>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</si>
  <si>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</si>
  <si>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</si>
  <si>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</si>
  <si>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</si>
  <si>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</si>
  <si>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</si>
  <si>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</si>
  <si>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</si>
  <si>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</si>
  <si>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</si>
  <si>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</si>
  <si>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</si>
  <si>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</si>
  <si>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</si>
  <si>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</si>
  <si>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</si>
  <si>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</si>
  <si>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</si>
  <si>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</si>
  <si>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</si>
  <si>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</si>
  <si>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</si>
  <si>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</si>
  <si>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</si>
  <si>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</si>
  <si>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</si>
  <si>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</si>
  <si>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</si>
  <si>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</si>
  <si>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</si>
  <si>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</si>
  <si>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</si>
  <si>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</si>
  <si>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</si>
  <si>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</si>
  <si>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</si>
  <si>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</si>
  <si>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</si>
  <si>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</si>
  <si>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</si>
  <si>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</si>
  <si>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</si>
  <si>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</si>
  <si>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</si>
  <si>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</si>
  <si>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</si>
  <si>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</si>
  <si>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</si>
  <si>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</si>
  <si>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</si>
  <si>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</si>
  <si>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</si>
  <si>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</si>
  <si>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</si>
  <si>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</si>
  <si>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</si>
  <si>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</si>
  <si>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</si>
  <si>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</si>
  <si>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</si>
  <si>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</si>
  <si>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</si>
  <si>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</si>
  <si>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</si>
  <si>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</si>
  <si>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</si>
  <si>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</si>
  <si>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</si>
  <si>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</si>
  <si>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</si>
  <si>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</si>
  <si>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</si>
  <si>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</si>
  <si>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</si>
  <si>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</si>
  <si>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</si>
  <si>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</si>
  <si>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</si>
  <si>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</si>
  <si>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</si>
  <si>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</si>
  <si>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</si>
  <si>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</si>
  <si>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</si>
  <si>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</si>
  <si>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</si>
  <si>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</si>
  <si>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</si>
  <si>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</si>
  <si>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</si>
  <si>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</si>
  <si>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</si>
  <si>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</si>
  <si>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</si>
  <si>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</si>
  <si>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</si>
  <si>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</si>
  <si>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</si>
  <si>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</si>
  <si>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</si>
  <si>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</si>
  <si>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</si>
  <si>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</si>
  <si>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</si>
  <si>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</si>
  <si>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</si>
  <si>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</si>
  <si>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</si>
  <si>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</si>
  <si>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</si>
  <si>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</si>
  <si>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</si>
  <si>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</si>
  <si>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</si>
  <si>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</si>
  <si>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</si>
  <si>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</si>
  <si>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</si>
  <si>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</si>
  <si>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</si>
  <si>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</si>
  <si>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</si>
  <si>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</si>
  <si>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</si>
  <si>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</si>
  <si>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</si>
  <si>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</si>
  <si>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</si>
  <si>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</si>
  <si>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</si>
  <si>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</si>
  <si>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</si>
  <si>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</si>
  <si>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</si>
  <si>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</si>
  <si>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</si>
  <si>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</si>
  <si>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</si>
  <si>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</si>
  <si>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</si>
  <si>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</si>
  <si>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</si>
  <si>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</si>
  <si>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</si>
  <si>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</si>
  <si>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</si>
  <si>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</si>
  <si>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</si>
  <si>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</si>
  <si>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</si>
  <si>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</si>
  <si>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</si>
  <si>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</si>
  <si>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</si>
  <si>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</si>
  <si>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</si>
  <si>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</si>
  <si>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</si>
  <si>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</si>
  <si>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</si>
  <si>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</si>
  <si>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</si>
  <si>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</si>
  <si>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</si>
  <si>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</si>
  <si>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</si>
  <si>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</si>
  <si>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</si>
  <si>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</si>
  <si>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</si>
  <si>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</si>
  <si>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</si>
  <si>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</si>
  <si>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</si>
  <si>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</si>
  <si>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</si>
  <si>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</si>
  <si>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</si>
  <si>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</si>
  <si>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</si>
  <si>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</si>
  <si>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</si>
  <si>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</si>
  <si>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</si>
  <si>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</si>
  <si>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</si>
  <si>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</si>
  <si>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</si>
  <si>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</si>
  <si>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</si>
  <si>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</si>
  <si>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</si>
  <si>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</si>
  <si>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</si>
  <si>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</si>
  <si>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</si>
  <si>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</si>
  <si>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</si>
  <si>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</si>
  <si>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</si>
  <si>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</si>
  <si>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</si>
  <si>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</si>
  <si>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</si>
  <si>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</si>
  <si>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</si>
  <si>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</si>
  <si>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</si>
  <si>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</si>
  <si>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</si>
  <si>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</si>
  <si>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</si>
  <si>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</si>
  <si>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</si>
  <si>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</si>
  <si>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</si>
  <si>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</si>
  <si>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</si>
  <si>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</si>
  <si>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</si>
  <si>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</si>
  <si>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</si>
  <si>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</si>
  <si>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</si>
  <si>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</si>
  <si>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</si>
  <si>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</si>
  <si>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</si>
  <si>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</si>
  <si>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</si>
  <si>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</si>
  <si>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</si>
  <si>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</si>
  <si>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</si>
  <si>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</si>
  <si>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</si>
  <si>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</si>
  <si>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</si>
  <si>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</si>
  <si>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</si>
  <si>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</si>
  <si>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</si>
  <si>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</si>
  <si>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</si>
  <si>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</si>
  <si>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</si>
  <si>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</si>
  <si>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</si>
  <si>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</si>
  <si>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</si>
  <si>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</si>
  <si>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</si>
  <si>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</si>
  <si>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</si>
  <si>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</si>
  <si>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</si>
  <si>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</si>
  <si>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</si>
  <si>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</si>
  <si>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</si>
  <si>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</si>
  <si>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</si>
  <si>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</si>
  <si>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</si>
  <si>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</si>
  <si>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</si>
  <si>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</si>
  <si>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</si>
  <si>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</si>
  <si>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</si>
  <si>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</si>
  <si>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</si>
  <si>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</si>
  <si>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</si>
  <si>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</si>
  <si>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</si>
  <si>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</si>
  <si>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</si>
  <si>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</si>
  <si>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</si>
  <si>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</si>
  <si>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</si>
  <si>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</si>
  <si>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</si>
  <si>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</si>
  <si>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</si>
  <si>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</si>
  <si>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</si>
  <si>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</si>
  <si>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</si>
  <si>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</si>
  <si>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</si>
  <si>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</si>
  <si>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</si>
  <si>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</si>
  <si>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</si>
  <si>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</si>
  <si>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</si>
  <si>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</si>
  <si>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</si>
  <si>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</si>
  <si>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</si>
  <si>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</si>
  <si>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</si>
  <si>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</si>
  <si>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</si>
  <si>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</si>
  <si>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</si>
  <si>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</si>
  <si>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</si>
  <si>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</si>
  <si>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</si>
  <si>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</si>
  <si>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</si>
  <si>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</si>
  <si>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</si>
  <si>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</si>
  <si>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</si>
  <si>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</si>
  <si>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</si>
  <si>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</si>
  <si>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</si>
  <si>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</si>
  <si>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</si>
  <si>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</si>
  <si>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</si>
  <si>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</si>
  <si>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</si>
  <si>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</si>
  <si>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</si>
  <si>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</si>
  <si>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</si>
  <si>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</si>
  <si>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</si>
  <si>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</si>
  <si>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</si>
  <si>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</si>
  <si>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</si>
  <si>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</si>
  <si>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</si>
  <si>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</si>
  <si>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</si>
  <si>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</si>
  <si>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</si>
  <si>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</si>
  <si>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</si>
  <si>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</si>
  <si>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</si>
  <si>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</si>
  <si>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</si>
  <si>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</si>
  <si>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</si>
  <si>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</si>
  <si>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</si>
  <si>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</si>
  <si>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</si>
  <si>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</si>
  <si>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</si>
  <si>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</si>
  <si>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</si>
  <si>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</si>
  <si>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</si>
  <si>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</si>
  <si>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</si>
  <si>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</si>
  <si>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</si>
  <si>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</si>
  <si>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</si>
  <si>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</si>
  <si>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</si>
  <si>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</si>
  <si>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</si>
  <si>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</si>
  <si>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</si>
  <si>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</si>
  <si>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</si>
  <si>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</si>
  <si>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</si>
  <si>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</si>
  <si>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</si>
  <si>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</si>
  <si>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</si>
  <si>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</si>
  <si>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</si>
  <si>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</si>
  <si>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</si>
  <si>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</si>
  <si>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</si>
  <si>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</si>
  <si>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</si>
  <si>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</si>
  <si>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</si>
  <si>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</si>
  <si>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</si>
  <si>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</si>
  <si>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</si>
  <si>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</si>
  <si>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</si>
  <si>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</si>
  <si>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</si>
  <si>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</si>
  <si>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</si>
  <si>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</si>
  <si>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</si>
  <si>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</si>
  <si>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</si>
  <si>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</si>
  <si>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</si>
  <si>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</si>
  <si>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</si>
  <si>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</si>
  <si>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</si>
  <si>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</si>
  <si>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</si>
  <si>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</si>
  <si>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</si>
  <si>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</si>
  <si>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</si>
  <si>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</si>
  <si>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</si>
  <si>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</si>
  <si>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</si>
  <si>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</si>
  <si>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</si>
  <si>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</si>
  <si>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</si>
  <si>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</si>
  <si>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</si>
  <si>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</si>
  <si>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</si>
  <si>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</si>
  <si>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</si>
  <si>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</si>
  <si>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</si>
  <si>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</si>
  <si>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</si>
  <si>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</si>
  <si>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</si>
  <si>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</si>
  <si>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</si>
  <si>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</si>
  <si>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</si>
  <si>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</si>
  <si>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</si>
  <si>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</si>
  <si>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</si>
  <si>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</si>
  <si>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</si>
  <si>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</si>
  <si>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</si>
  <si>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</si>
  <si>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</si>
  <si>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</si>
  <si>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</si>
  <si>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</si>
  <si>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</si>
  <si>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</si>
  <si>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</si>
  <si>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</si>
  <si>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</si>
  <si>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</si>
  <si>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</si>
  <si>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</si>
  <si>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</si>
  <si>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</si>
  <si>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</si>
  <si>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</si>
  <si>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</si>
  <si>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</si>
  <si>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</si>
  <si>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</si>
  <si>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</si>
  <si>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</si>
  <si>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</si>
  <si>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</si>
  <si>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</si>
  <si>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</si>
  <si>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</si>
  <si>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</si>
  <si>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</si>
  <si>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</si>
  <si>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</si>
  <si>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</si>
  <si>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</si>
  <si>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</si>
  <si>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</si>
  <si>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</si>
  <si>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</si>
  <si>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</si>
  <si>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</si>
  <si>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</si>
  <si>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</si>
  <si>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</si>
  <si>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</si>
  <si>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</si>
  <si>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</si>
  <si>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</si>
  <si>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</si>
  <si>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</si>
  <si>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</si>
  <si>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</si>
  <si>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</si>
  <si>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</si>
  <si>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</si>
  <si>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</si>
  <si>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</si>
  <si>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</si>
  <si>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</si>
  <si>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</si>
  <si>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</si>
  <si>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</si>
  <si>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</si>
  <si>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</si>
  <si>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</si>
  <si>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</si>
  <si>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</si>
  <si>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</si>
  <si>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</si>
  <si>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</si>
  <si>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</si>
  <si>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</si>
  <si>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</si>
  <si>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</si>
  <si>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</si>
  <si>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</si>
  <si>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</si>
  <si>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</si>
  <si>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</si>
  <si>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</si>
  <si>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</si>
  <si>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</si>
  <si>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</si>
  <si>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</si>
  <si>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</si>
  <si>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</si>
  <si>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</si>
  <si>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</si>
  <si>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</si>
  <si>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</si>
  <si>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</si>
  <si>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</si>
  <si>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</si>
  <si>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</si>
  <si>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</si>
  <si>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</si>
  <si>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</si>
  <si>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</si>
  <si>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</si>
  <si>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</si>
  <si>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</si>
  <si>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</si>
  <si>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</si>
  <si>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</si>
  <si>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</si>
  <si>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</si>
  <si>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</si>
  <si>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</si>
  <si>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</si>
  <si>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</si>
  <si>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</si>
  <si>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</si>
  <si>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</si>
  <si>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</si>
  <si>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</si>
  <si>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</si>
  <si>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</si>
  <si>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</si>
  <si>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</si>
  <si>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</si>
  <si>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</si>
  <si>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</si>
  <si>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</si>
  <si>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</si>
  <si>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</si>
  <si>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</si>
  <si>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</si>
  <si>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</si>
  <si>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</si>
  <si>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</si>
  <si>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</si>
  <si>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</si>
  <si>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</si>
  <si>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</si>
  <si>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</si>
  <si>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</si>
  <si>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</si>
  <si>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</si>
  <si>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</si>
  <si>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</si>
  <si>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</si>
  <si>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</si>
  <si>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</si>
  <si>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</si>
  <si>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</si>
  <si>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</si>
  <si>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</si>
  <si>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</si>
  <si>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</si>
  <si>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</si>
  <si>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</si>
  <si>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</si>
  <si>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</si>
  <si>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</si>
  <si>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</si>
  <si>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</si>
  <si>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</si>
  <si>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</si>
  <si>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</si>
  <si>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</si>
  <si>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</si>
  <si>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</si>
  <si>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</si>
  <si>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</si>
  <si>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</si>
  <si>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</si>
  <si>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</si>
  <si>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</si>
  <si>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</si>
  <si>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</si>
  <si>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</si>
  <si>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</si>
  <si>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</si>
  <si>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</si>
  <si>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</si>
  <si>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</si>
  <si>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</si>
  <si>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</si>
  <si>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</si>
  <si>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</si>
  <si>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</si>
  <si>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</si>
  <si>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</si>
  <si>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</si>
  <si>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</si>
  <si>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</si>
  <si>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</si>
  <si>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</si>
  <si>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</si>
  <si>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</si>
  <si>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</si>
  <si>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</si>
  <si>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</si>
  <si>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</si>
  <si>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</si>
  <si>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</si>
  <si>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</si>
  <si>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</si>
  <si>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</si>
  <si>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</si>
  <si>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</si>
  <si>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</si>
  <si>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</si>
  <si>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</si>
  <si>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</si>
  <si>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</si>
  <si>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</si>
  <si>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</si>
  <si>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</si>
  <si>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</si>
  <si>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</si>
  <si>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</si>
  <si>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</si>
  <si>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</si>
  <si>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</si>
  <si>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</si>
  <si>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</si>
  <si>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</si>
  <si>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</si>
  <si>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</si>
  <si>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</si>
  <si>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</si>
  <si>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</si>
  <si>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</si>
  <si>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</si>
  <si>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</si>
  <si>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</si>
  <si>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</si>
  <si>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</si>
  <si>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</si>
  <si>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</si>
  <si>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</si>
  <si>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</si>
  <si>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</si>
  <si>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</si>
  <si>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</si>
  <si>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</si>
  <si>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</si>
  <si>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</si>
  <si>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</si>
  <si>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</si>
  <si>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</si>
  <si>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</si>
  <si>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</si>
  <si>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</si>
  <si>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</si>
  <si>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</si>
  <si>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</si>
  <si>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</si>
  <si>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</si>
  <si>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</si>
  <si>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</si>
  <si>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</si>
  <si>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</si>
  <si>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</si>
  <si>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</si>
  <si>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</si>
  <si>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</si>
  <si>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</si>
  <si>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</si>
  <si>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</si>
  <si>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</si>
  <si>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</si>
  <si>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</si>
  <si>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</si>
  <si>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</si>
  <si>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</si>
  <si>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</si>
  <si>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</si>
  <si>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</si>
  <si>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</si>
  <si>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</si>
  <si>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</si>
  <si>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</si>
  <si>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</si>
  <si>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</si>
  <si>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</si>
  <si>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</si>
  <si>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</si>
  <si>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</si>
  <si>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</si>
  <si>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</si>
  <si>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</si>
  <si>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</si>
  <si>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</si>
  <si>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</si>
  <si>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</si>
  <si>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</si>
  <si>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</si>
  <si>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</si>
  <si>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</si>
  <si>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</si>
  <si>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</si>
  <si>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</si>
  <si>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</si>
  <si>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</si>
  <si>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</si>
  <si>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</si>
  <si>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</si>
  <si>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</si>
  <si>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</si>
  <si>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</si>
  <si>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</si>
  <si>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</si>
  <si>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</si>
  <si>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</si>
  <si>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</si>
  <si>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</si>
  <si>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</si>
  <si>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</si>
  <si>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</si>
  <si>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</si>
  <si>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</si>
  <si>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</si>
  <si>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</si>
  <si>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</si>
  <si>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</si>
  <si>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</si>
  <si>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</si>
  <si>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</si>
  <si>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</si>
  <si>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</si>
  <si>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</si>
  <si>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</si>
  <si>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</si>
  <si>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</si>
  <si>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</si>
  <si>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</si>
  <si>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</si>
  <si>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</si>
  <si>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</si>
  <si>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</si>
  <si>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</si>
  <si>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</si>
  <si>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</si>
  <si>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</si>
  <si>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</si>
  <si>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</si>
  <si>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</si>
  <si>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</si>
  <si>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</si>
  <si>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</si>
  <si>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</si>
  <si>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</si>
  <si>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</si>
  <si>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</si>
  <si>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</si>
  <si>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</si>
  <si>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</si>
  <si>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</si>
  <si>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</si>
  <si>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</si>
  <si>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</si>
  <si>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</si>
  <si>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</si>
  <si>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</si>
  <si>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</si>
  <si>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</si>
  <si>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</si>
  <si>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</si>
  <si>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</si>
  <si>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</si>
  <si>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</si>
  <si>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</si>
  <si>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</si>
  <si>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</si>
  <si>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</si>
  <si>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</si>
  <si>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</si>
  <si>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</si>
  <si>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</si>
  <si>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</si>
  <si>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</si>
  <si>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</si>
  <si>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</si>
  <si>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</si>
  <si>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</si>
  <si>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</si>
  <si>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</si>
  <si>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</si>
  <si>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</si>
  <si>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</si>
  <si>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</si>
  <si>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</si>
  <si>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</si>
  <si>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</si>
  <si>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</si>
  <si>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</si>
  <si>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</si>
  <si>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</si>
  <si>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</si>
  <si>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</si>
  <si>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</si>
  <si>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</si>
  <si>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</si>
  <si>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</si>
  <si>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</si>
  <si>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</si>
  <si>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</si>
  <si>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</si>
  <si>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</si>
  <si>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</si>
  <si>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</si>
  <si>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</si>
  <si>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</si>
  <si>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</si>
  <si>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</si>
  <si>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</si>
  <si>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</si>
  <si>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</si>
  <si>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</si>
  <si>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</si>
  <si>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</si>
  <si>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</si>
  <si>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</si>
  <si>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</si>
  <si>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</si>
  <si>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</si>
  <si>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</si>
  <si>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</si>
  <si>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</si>
  <si>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</si>
  <si>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</si>
  <si>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</si>
  <si>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</si>
  <si>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</si>
  <si>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</si>
  <si>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</si>
  <si>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</si>
  <si>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</si>
  <si>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</si>
  <si>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</si>
  <si>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</si>
  <si>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</si>
  <si>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</si>
  <si>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</si>
  <si>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</si>
  <si>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</si>
  <si>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</si>
  <si>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</si>
  <si>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</si>
  <si>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</si>
  <si>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</si>
  <si>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</si>
  <si>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</si>
  <si>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</si>
  <si>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</si>
  <si>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</si>
  <si>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</si>
  <si>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</si>
  <si>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</si>
  <si>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</si>
  <si>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</si>
  <si>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</si>
  <si>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</si>
  <si>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</si>
  <si>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</si>
  <si>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</si>
  <si>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</si>
  <si>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</si>
  <si>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</si>
  <si>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</si>
  <si>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</si>
  <si>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</si>
  <si>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</si>
  <si>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</si>
  <si>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</si>
  <si>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</si>
  <si>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</si>
  <si>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</si>
  <si>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</si>
  <si>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</si>
  <si>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</si>
  <si>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</si>
  <si>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</si>
  <si>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</si>
  <si>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</si>
  <si>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</si>
  <si>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</si>
  <si>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</si>
  <si>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</si>
  <si>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</si>
  <si>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</si>
  <si>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</si>
  <si>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</si>
  <si>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</si>
  <si>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</si>
  <si>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</si>
  <si>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</si>
  <si>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</si>
  <si>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</si>
  <si>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</si>
  <si>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</si>
  <si>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</si>
  <si>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</si>
  <si>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</si>
  <si>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</si>
  <si>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</si>
  <si>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</si>
  <si>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</si>
  <si>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</si>
  <si>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</si>
  <si>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</si>
  <si>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</si>
  <si>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</si>
  <si>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</si>
  <si>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</si>
  <si>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</si>
  <si>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</si>
  <si>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</si>
  <si>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</si>
  <si>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</si>
  <si>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</si>
  <si>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</si>
  <si>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</si>
  <si>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</si>
  <si>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</si>
  <si>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</si>
  <si>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</si>
  <si>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</si>
  <si>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</si>
  <si>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</si>
  <si>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</si>
  <si>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</si>
  <si>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</si>
  <si>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</si>
  <si>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</si>
  <si>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</si>
  <si>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</si>
  <si>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</si>
  <si>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</si>
  <si>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</si>
  <si>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</si>
  <si>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</si>
  <si>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</si>
  <si>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</si>
  <si>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</si>
  <si>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</si>
  <si>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</si>
  <si>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</si>
  <si>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</si>
  <si>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</si>
  <si>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</si>
  <si>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</si>
  <si>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</si>
  <si>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</si>
  <si>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</si>
  <si>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</si>
  <si>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</si>
  <si>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</si>
  <si>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</si>
  <si>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</si>
  <si>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</si>
  <si>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</si>
  <si>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</si>
  <si>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</si>
  <si>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</si>
  <si>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</si>
  <si>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</si>
  <si>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</si>
  <si>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</si>
  <si>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</si>
  <si>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</si>
  <si>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</si>
  <si>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</si>
  <si>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</si>
  <si>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</si>
  <si>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</si>
  <si>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</si>
  <si>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</si>
  <si>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</si>
  <si>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</si>
  <si>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</si>
  <si>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</si>
  <si>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</si>
  <si>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</si>
  <si>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</si>
  <si>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</si>
  <si>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</si>
  <si>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</si>
  <si>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</si>
  <si>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</si>
  <si>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</si>
  <si>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</si>
  <si>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</si>
  <si>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</si>
  <si>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</si>
  <si>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</si>
  <si>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</si>
  <si>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</si>
  <si>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</si>
  <si>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</si>
  <si>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</si>
  <si>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</si>
  <si>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</si>
  <si>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</si>
  <si>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</si>
  <si>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</si>
  <si>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</si>
  <si>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</si>
  <si>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</si>
  <si>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</si>
  <si>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</si>
  <si>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</si>
  <si>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</si>
  <si>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</si>
  <si>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</si>
  <si>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</si>
  <si>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</si>
  <si>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</si>
  <si>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</si>
  <si>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</si>
  <si>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</si>
  <si>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</si>
  <si>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</si>
  <si>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</si>
  <si>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</si>
  <si>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</si>
  <si>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</si>
  <si>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</si>
  <si>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</si>
  <si>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</si>
  <si>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</si>
  <si>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</si>
  <si>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</si>
  <si>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</si>
  <si>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</si>
  <si>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</si>
  <si>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</si>
  <si>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</si>
  <si>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</si>
  <si>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</si>
  <si>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</si>
  <si>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</si>
  <si>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</si>
  <si>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</si>
  <si>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</si>
  <si>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</si>
  <si>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</si>
  <si>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</si>
  <si>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</si>
  <si>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</si>
  <si>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</si>
  <si>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</si>
  <si>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</si>
  <si>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</si>
  <si>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</si>
  <si>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</si>
  <si>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</si>
  <si>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</si>
  <si>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</si>
  <si>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</si>
  <si>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</si>
  <si>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</si>
  <si>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</si>
  <si>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</si>
  <si>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</si>
  <si>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</si>
  <si>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</si>
  <si>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</si>
  <si>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</si>
  <si>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</si>
  <si>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</si>
  <si>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</si>
  <si>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</si>
  <si>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</si>
  <si>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</si>
  <si>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</si>
  <si>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</si>
  <si>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</si>
  <si>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</si>
  <si>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</si>
  <si>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</si>
  <si>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</si>
  <si>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</si>
  <si>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</si>
  <si>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</si>
  <si>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</si>
  <si>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</si>
  <si>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</si>
  <si>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</si>
  <si>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</si>
  <si>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</si>
  <si>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</si>
  <si>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</si>
  <si>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</si>
  <si>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</si>
  <si>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</si>
  <si>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</si>
  <si>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</si>
  <si>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</si>
  <si>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</si>
  <si>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</si>
  <si>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</si>
  <si>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</si>
  <si>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</si>
  <si>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</si>
  <si>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</si>
  <si>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</si>
  <si>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</si>
  <si>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</si>
  <si>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</si>
  <si>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</si>
  <si>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</si>
  <si>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</si>
  <si>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</si>
  <si>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</si>
  <si>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</si>
  <si>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</si>
  <si>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</si>
  <si>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</si>
  <si>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</si>
  <si>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</si>
  <si>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</si>
  <si>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</si>
  <si>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</si>
  <si>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</si>
  <si>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</si>
  <si>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</si>
  <si>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</si>
  <si>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</si>
  <si>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</si>
  <si>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</si>
  <si>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</si>
  <si>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</si>
  <si>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</si>
  <si>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</si>
  <si>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</si>
  <si>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</si>
  <si>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</si>
  <si>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</si>
  <si>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</si>
  <si>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</si>
  <si>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</si>
  <si>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</si>
  <si>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</si>
  <si>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</si>
  <si>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</si>
  <si>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</si>
  <si>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</si>
  <si>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</si>
  <si>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</si>
  <si>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</si>
  <si>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</si>
  <si>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</si>
  <si>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</si>
  <si>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</si>
  <si>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</si>
  <si>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</si>
  <si>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</si>
  <si>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</si>
  <si>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</si>
  <si>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</si>
  <si>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</si>
  <si>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</si>
  <si>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</si>
  <si>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</si>
  <si>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</si>
  <si>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</si>
  <si>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</si>
  <si>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</si>
  <si>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</si>
  <si>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</si>
  <si>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</si>
  <si>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</si>
  <si>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</si>
  <si>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</si>
  <si>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</si>
  <si>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</si>
  <si>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</si>
  <si>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</si>
  <si>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</si>
  <si>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</si>
  <si>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</si>
  <si>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</si>
  <si>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</si>
  <si>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</si>
  <si>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</si>
  <si>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</si>
  <si>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</si>
  <si>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</si>
  <si>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</si>
  <si>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</si>
  <si>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</si>
  <si>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</si>
  <si>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</si>
  <si>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</si>
  <si>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</si>
  <si>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</si>
  <si>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</si>
  <si>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</si>
  <si>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</si>
  <si>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</si>
  <si>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</si>
  <si>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</si>
  <si>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</si>
  <si>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</si>
  <si>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</si>
  <si>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</si>
  <si>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</si>
  <si>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</si>
  <si>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</si>
  <si>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</si>
  <si>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</si>
  <si>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</si>
  <si>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</si>
  <si>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</si>
  <si>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</si>
  <si>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</si>
  <si>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</si>
  <si>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</si>
  <si>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</si>
  <si>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</si>
  <si>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</si>
  <si>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</si>
  <si>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</si>
  <si>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</si>
  <si>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</si>
  <si>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</si>
  <si>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</si>
  <si>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</si>
  <si>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</si>
  <si>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</si>
  <si>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</si>
  <si>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</si>
  <si>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</si>
  <si>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</si>
  <si>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</si>
  <si>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</si>
  <si>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</si>
  <si>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</si>
  <si>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</si>
  <si>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</si>
  <si>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</si>
  <si>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</si>
  <si>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</si>
  <si>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</si>
  <si>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</si>
  <si>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</si>
  <si>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</si>
  <si>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</si>
  <si>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</si>
  <si>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</si>
  <si>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</si>
  <si>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</si>
  <si>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</si>
  <si>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</si>
  <si>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</si>
  <si>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</si>
  <si>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</si>
  <si>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</si>
  <si>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</si>
  <si>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</si>
  <si>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</si>
  <si>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</si>
  <si>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</si>
  <si>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</si>
  <si>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</si>
  <si>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</si>
  <si>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</si>
  <si>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</si>
  <si>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</si>
  <si>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</si>
  <si>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</si>
  <si>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</si>
  <si>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</si>
  <si>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</si>
  <si>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</si>
  <si>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</si>
  <si>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</si>
  <si>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</si>
  <si>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</si>
  <si>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</si>
  <si>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</si>
  <si>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</si>
  <si>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</si>
  <si>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</si>
  <si>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</si>
  <si>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</si>
  <si>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</si>
  <si>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</si>
  <si>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</si>
  <si>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</si>
  <si>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</si>
  <si>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</si>
  <si>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</si>
  <si>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</si>
  <si>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</si>
  <si>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</si>
  <si>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</si>
  <si>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</si>
  <si>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</si>
  <si>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</si>
  <si>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</si>
  <si>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</si>
  <si>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</si>
  <si>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</si>
  <si>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</si>
  <si>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</si>
  <si>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</si>
  <si>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</si>
  <si>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</si>
  <si>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</si>
  <si>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</si>
  <si>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</si>
  <si>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</si>
  <si>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</si>
  <si>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</si>
  <si>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</si>
  <si>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</si>
  <si>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</si>
  <si>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</si>
  <si>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</si>
  <si>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</si>
  <si>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</si>
  <si>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</si>
  <si>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</si>
  <si>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</si>
  <si>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</si>
  <si>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</si>
  <si>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</si>
  <si>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</si>
  <si>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</si>
  <si>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</si>
  <si>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</si>
  <si>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</si>
  <si>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</si>
  <si>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</si>
  <si>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</si>
  <si>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</si>
  <si>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</si>
  <si>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</si>
  <si>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</si>
  <si>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</si>
  <si>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</si>
  <si>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</si>
  <si>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</si>
  <si>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</si>
  <si>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</si>
  <si>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</si>
  <si>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</si>
  <si>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</si>
  <si>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</si>
  <si>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</si>
  <si>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</si>
  <si>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</si>
  <si>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</si>
  <si>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</si>
  <si>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</si>
  <si>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</si>
  <si>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</si>
  <si>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</si>
  <si>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</si>
  <si>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</si>
  <si>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</si>
  <si>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</si>
  <si>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</si>
  <si>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</si>
  <si>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</si>
  <si>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</si>
  <si>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</si>
  <si>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</si>
  <si>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</si>
  <si>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</si>
  <si>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</si>
  <si>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</si>
  <si>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</si>
  <si>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</si>
  <si>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</si>
  <si>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</si>
  <si>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</si>
  <si>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</si>
  <si>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</si>
  <si>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</si>
  <si>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</si>
  <si>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</si>
  <si>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</si>
  <si>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</si>
  <si>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</si>
  <si>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</si>
  <si>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</si>
  <si>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</si>
  <si>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</si>
  <si>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</si>
  <si>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</si>
  <si>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</si>
  <si>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</si>
  <si>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</si>
  <si>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</si>
  <si>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</si>
  <si>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</si>
  <si>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</si>
  <si>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</si>
  <si>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</si>
  <si>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</si>
  <si>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</si>
  <si>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</si>
  <si>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</si>
  <si>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</si>
  <si>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</si>
  <si>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</si>
  <si>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</si>
  <si>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</si>
  <si>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</si>
  <si>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</si>
  <si>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</si>
  <si>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</si>
  <si>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</si>
  <si>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</si>
  <si>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</si>
  <si>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</si>
  <si>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</si>
  <si>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</si>
  <si>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</si>
  <si>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</si>
  <si>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</si>
  <si>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</si>
  <si>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</si>
  <si>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</si>
  <si>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</si>
  <si>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</si>
  <si>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</si>
  <si>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</si>
  <si>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</si>
  <si>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</si>
  <si>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</si>
  <si>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</si>
  <si>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</si>
  <si>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</si>
  <si>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</si>
  <si>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</si>
  <si>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</si>
  <si>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</si>
  <si>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</si>
  <si>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</si>
  <si>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</si>
  <si>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</si>
  <si>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</si>
  <si>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</si>
  <si>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</si>
  <si>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</si>
  <si>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</si>
  <si>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</si>
  <si>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</si>
  <si>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</si>
  <si>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</si>
  <si>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</si>
  <si>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</si>
  <si>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</si>
  <si>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</si>
  <si>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</si>
  <si>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</si>
  <si>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</si>
  <si>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</si>
  <si>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</si>
  <si>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</si>
  <si>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</si>
  <si>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</si>
  <si>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</si>
  <si>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</si>
  <si>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</si>
  <si>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</si>
  <si>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</si>
  <si>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</si>
  <si>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</si>
  <si>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</si>
  <si>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</si>
  <si>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</si>
  <si>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</si>
  <si>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</si>
  <si>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</si>
  <si>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</si>
  <si>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</si>
  <si>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</si>
  <si>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</si>
  <si>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</si>
  <si>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</si>
  <si>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</si>
  <si>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</si>
  <si>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</si>
  <si>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</si>
  <si>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</si>
  <si>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</si>
  <si>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</si>
  <si>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</si>
  <si>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</si>
  <si>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</si>
  <si>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</si>
  <si>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</si>
  <si>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</si>
  <si>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</si>
  <si>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</si>
  <si>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</si>
  <si>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</si>
  <si>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</si>
  <si>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</si>
  <si>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</si>
  <si>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</si>
  <si>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</si>
  <si>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</si>
  <si>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</si>
  <si>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</si>
  <si>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</si>
  <si>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</si>
  <si>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</si>
  <si>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</si>
  <si>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</si>
  <si>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</si>
  <si>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</si>
  <si>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</si>
  <si>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</si>
  <si>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</si>
  <si>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</si>
  <si>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</si>
  <si>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</si>
  <si>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</si>
  <si>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</si>
  <si>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</si>
  <si>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</si>
  <si>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</si>
  <si>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</si>
  <si>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</si>
  <si>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</si>
  <si>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</si>
  <si>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</si>
  <si>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</si>
  <si>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</si>
  <si>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</si>
  <si>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</si>
  <si>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</si>
  <si>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</si>
  <si>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</si>
  <si>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</si>
  <si>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</si>
  <si>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</si>
  <si>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</si>
  <si>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</si>
  <si>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</si>
  <si>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</si>
  <si>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</si>
  <si>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</si>
  <si>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</si>
  <si>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</si>
  <si>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</si>
  <si>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</si>
  <si>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</si>
  <si>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</si>
  <si>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</si>
  <si>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</si>
  <si>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</si>
  <si>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</si>
  <si>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</si>
  <si>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</si>
  <si>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</si>
  <si>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</si>
  <si>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</si>
  <si>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</si>
  <si>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</si>
  <si>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</si>
  <si>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</si>
  <si>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</si>
  <si>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</si>
  <si>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</si>
  <si>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</si>
  <si>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</si>
  <si>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</si>
  <si>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</si>
  <si>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</si>
  <si>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</si>
  <si>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</si>
  <si>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</si>
  <si>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</si>
  <si>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</si>
  <si>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</si>
  <si>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</si>
  <si>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</si>
  <si>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</si>
  <si>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</si>
  <si>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</si>
  <si>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</si>
  <si>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</si>
  <si>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</si>
  <si>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</si>
  <si>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</si>
  <si>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</si>
  <si>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</si>
  <si>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</si>
  <si>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</si>
  <si>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</si>
  <si>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</si>
  <si>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</si>
  <si>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</si>
  <si>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</si>
  <si>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</si>
  <si>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</si>
  <si>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</si>
  <si>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</si>
  <si>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</si>
  <si>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</si>
  <si>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</si>
  <si>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</si>
  <si>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</si>
  <si>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</si>
  <si>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</si>
  <si>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</si>
  <si>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</si>
  <si>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</si>
  <si>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</si>
  <si>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</si>
  <si>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</si>
  <si>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</si>
  <si>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</si>
  <si>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</si>
  <si>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</si>
  <si>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</si>
  <si>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</si>
  <si>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</si>
  <si>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</si>
  <si>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</si>
  <si>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</si>
  <si>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</si>
  <si>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</si>
  <si>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</si>
  <si>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</si>
  <si>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</si>
  <si>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</si>
  <si>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</si>
  <si>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</si>
  <si>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</si>
  <si>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</si>
  <si>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</si>
  <si>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</si>
  <si>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</si>
  <si>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</si>
  <si>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</si>
  <si>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</si>
  <si>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</si>
  <si>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</si>
  <si>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</si>
  <si>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</si>
  <si>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</si>
  <si>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</si>
  <si>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</si>
  <si>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</si>
  <si>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</si>
  <si>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</si>
  <si>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</si>
  <si>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</si>
  <si>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</si>
  <si>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</si>
  <si>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</si>
  <si>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</si>
  <si>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</si>
  <si>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</si>
  <si>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</si>
  <si>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</si>
  <si>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</si>
  <si>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</si>
  <si>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</si>
  <si>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</si>
  <si>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</si>
  <si>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</si>
  <si>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</si>
  <si>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</si>
  <si>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</si>
  <si>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</si>
  <si>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</si>
  <si>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</si>
  <si>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</si>
  <si>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</si>
  <si>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</si>
  <si>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</si>
  <si>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</si>
  <si>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</si>
  <si>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</si>
  <si>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</si>
  <si>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</si>
  <si>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</si>
  <si>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</si>
  <si>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</si>
  <si>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</si>
  <si>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</si>
  <si>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</si>
  <si>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</si>
  <si>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</si>
  <si>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</si>
  <si>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</si>
  <si>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</si>
  <si>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</si>
  <si>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</si>
  <si>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</si>
  <si>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</si>
  <si>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</si>
  <si>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</si>
  <si>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</si>
  <si>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</si>
  <si>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</si>
  <si>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</si>
  <si>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</si>
  <si>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</si>
  <si>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</si>
  <si>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</si>
  <si>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</si>
  <si>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</si>
  <si>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</si>
  <si>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</si>
  <si>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</si>
  <si>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</si>
  <si>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</si>
  <si>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</si>
  <si>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</si>
  <si>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</si>
  <si>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</si>
  <si>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</si>
  <si>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</si>
  <si>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</si>
  <si>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</si>
  <si>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</si>
  <si>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</si>
  <si>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</si>
  <si>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</si>
  <si>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</si>
  <si>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</si>
  <si>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</si>
  <si>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</si>
  <si>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</si>
  <si>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</si>
  <si>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</si>
  <si>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</si>
  <si>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</si>
  <si>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</si>
  <si>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</si>
  <si>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</si>
  <si>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</si>
  <si>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</si>
  <si>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</si>
  <si>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</si>
  <si>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</si>
  <si>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</si>
  <si>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</si>
  <si>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</si>
  <si>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</si>
  <si>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</si>
  <si>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</si>
  <si>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</si>
  <si>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</si>
  <si>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</si>
  <si>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</si>
  <si>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</si>
  <si>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</si>
  <si>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</si>
  <si>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</si>
  <si>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</si>
  <si>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</si>
  <si>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</si>
  <si>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</si>
  <si>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</si>
  <si>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</si>
  <si>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</si>
  <si>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</si>
  <si>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</si>
  <si>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</si>
  <si>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</si>
  <si>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</si>
  <si>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</si>
  <si>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</si>
  <si>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</si>
  <si>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</si>
  <si>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</si>
  <si>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</si>
  <si>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</si>
  <si>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</si>
  <si>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</si>
  <si>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</si>
  <si>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</si>
  <si>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</si>
  <si>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</si>
  <si>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</si>
  <si>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</si>
  <si>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</si>
  <si>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</si>
  <si>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</si>
  <si>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</si>
  <si>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</si>
  <si>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</si>
  <si>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</si>
  <si>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</si>
  <si>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</si>
  <si>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</si>
  <si>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</si>
  <si>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</si>
  <si>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</si>
  <si>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</si>
  <si>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</si>
  <si>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</si>
  <si>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</si>
  <si>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</si>
  <si>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</si>
  <si>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</si>
  <si>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</si>
  <si>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</si>
  <si>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</si>
  <si>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</si>
  <si>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</si>
  <si>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</si>
  <si>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</si>
  <si>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</si>
  <si>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</si>
  <si>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</si>
  <si>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</si>
  <si>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</si>
  <si>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</si>
  <si>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</si>
  <si>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</si>
  <si>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</si>
  <si>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</si>
  <si>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</si>
  <si>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</si>
  <si>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</si>
  <si>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</si>
  <si>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</si>
  <si>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</si>
  <si>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</si>
  <si>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</si>
  <si>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</si>
  <si>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</si>
  <si>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</si>
  <si>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</si>
  <si>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</si>
  <si>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</si>
  <si>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</si>
  <si>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</si>
  <si>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</si>
  <si>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</si>
  <si>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</si>
  <si>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</si>
  <si>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</si>
  <si>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</si>
  <si>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</si>
  <si>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</si>
  <si>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</si>
  <si>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</si>
  <si>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</si>
  <si>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</si>
  <si>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</si>
  <si>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</si>
  <si>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</si>
  <si>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</si>
  <si>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</si>
  <si>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</si>
  <si>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</si>
  <si>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</si>
  <si>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</si>
  <si>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</si>
  <si>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</si>
  <si>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</si>
  <si>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</si>
  <si>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</si>
  <si>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</si>
  <si>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</si>
  <si>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</si>
  <si>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</si>
  <si>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</si>
  <si>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</si>
  <si>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</si>
  <si>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</si>
  <si>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</si>
  <si>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</si>
  <si>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</si>
  <si>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</si>
  <si>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</si>
  <si>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</si>
  <si>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</si>
  <si>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</si>
  <si>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</si>
  <si>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</si>
  <si>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</si>
  <si>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</si>
  <si>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</si>
  <si>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</si>
  <si>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</si>
  <si>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</si>
  <si>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</si>
  <si>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</si>
  <si>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</si>
  <si>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</si>
  <si>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</si>
  <si>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</si>
  <si>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</si>
  <si>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</si>
  <si>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</si>
  <si>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</si>
  <si>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</si>
  <si>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</si>
  <si>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</si>
  <si>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</si>
  <si>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</si>
  <si>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</si>
  <si>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</si>
  <si>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</si>
  <si>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</si>
  <si>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</si>
  <si>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</si>
  <si>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</si>
  <si>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</si>
  <si>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</si>
  <si>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</si>
  <si>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</si>
  <si>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</si>
  <si>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</si>
  <si>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</si>
  <si>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</si>
  <si>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</si>
  <si>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</si>
  <si>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</si>
  <si>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</si>
  <si>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</si>
  <si>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</si>
  <si>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</si>
  <si>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</si>
  <si>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</si>
  <si>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</si>
  <si>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</si>
  <si>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</si>
  <si>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</si>
  <si>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</si>
  <si>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</si>
  <si>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</si>
  <si>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</si>
  <si>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</si>
  <si>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</si>
  <si>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</si>
  <si>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</si>
  <si>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</si>
  <si>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</si>
  <si>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</si>
  <si>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</si>
  <si>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</si>
  <si>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</si>
  <si>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</si>
  <si>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</si>
  <si>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</si>
  <si>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</si>
  <si>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</si>
  <si>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</si>
  <si>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</si>
  <si>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</si>
  <si>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</si>
  <si>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</si>
  <si>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</si>
  <si>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</si>
  <si>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</si>
  <si>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</si>
  <si>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</si>
  <si>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</si>
  <si>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</si>
  <si>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</si>
  <si>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</si>
  <si>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</si>
  <si>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</si>
  <si>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</si>
  <si>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</si>
  <si>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</si>
  <si>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</si>
  <si>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</si>
  <si>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</si>
  <si>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</si>
  <si>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</si>
  <si>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</si>
  <si>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</si>
  <si>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</si>
  <si>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</si>
  <si>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</si>
  <si>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</si>
  <si>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</si>
  <si>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</si>
  <si>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</si>
  <si>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</si>
  <si>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</si>
  <si>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</si>
  <si>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</si>
  <si>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</si>
  <si>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</si>
  <si>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</si>
  <si>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</si>
  <si>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</si>
  <si>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</si>
  <si>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</si>
  <si>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</si>
  <si>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</si>
  <si>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</si>
  <si>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</si>
  <si>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</si>
  <si>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</si>
  <si>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</si>
  <si>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</si>
  <si>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</si>
  <si>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</si>
  <si>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</si>
  <si>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</si>
  <si>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</si>
  <si>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</si>
  <si>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</si>
  <si>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</si>
  <si>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</si>
  <si>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</si>
  <si>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</si>
  <si>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</si>
  <si>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</si>
  <si>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</si>
  <si>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</si>
  <si>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</si>
  <si>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</si>
  <si>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</si>
  <si>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</si>
  <si>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</si>
  <si>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</si>
  <si>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</si>
  <si>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</si>
  <si>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</si>
  <si>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</si>
  <si>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</si>
  <si>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</si>
  <si>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</si>
  <si>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</si>
  <si>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</si>
  <si>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</si>
  <si>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</si>
  <si>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</si>
  <si>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</si>
  <si>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</si>
  <si>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</si>
  <si>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</si>
  <si>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</si>
  <si>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</si>
  <si>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</si>
  <si>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</si>
  <si>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</si>
  <si>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</si>
  <si>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</si>
  <si>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</si>
  <si>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</si>
  <si>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</si>
  <si>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</si>
  <si>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</si>
  <si>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</si>
  <si>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</si>
  <si>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</si>
  <si>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</si>
  <si>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</si>
  <si>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</si>
  <si>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</si>
  <si>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</si>
  <si>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</si>
  <si>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</si>
  <si>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</si>
  <si>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</si>
  <si>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</si>
  <si>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</si>
  <si>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</si>
  <si>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</si>
  <si>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</si>
  <si>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</si>
  <si>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</si>
  <si>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</si>
  <si>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</si>
  <si>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</si>
  <si>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</si>
  <si>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</si>
  <si>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</si>
  <si>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</si>
  <si>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</si>
  <si>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</si>
  <si>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</si>
  <si>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</si>
  <si>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</si>
  <si>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</si>
  <si>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</si>
  <si>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</si>
  <si>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</si>
  <si>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</si>
  <si>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</si>
  <si>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</si>
  <si>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</si>
  <si>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</si>
  <si>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</si>
  <si>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</si>
  <si>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</si>
  <si>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</si>
  <si>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</si>
  <si>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</si>
  <si>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</si>
  <si>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</si>
  <si>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</si>
  <si>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</si>
  <si>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</si>
  <si>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</si>
  <si>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</si>
  <si>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</si>
  <si>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</si>
  <si>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</si>
  <si>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</si>
  <si>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</si>
  <si>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</si>
  <si>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</si>
  <si>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</si>
  <si>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</si>
  <si>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</si>
  <si>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</si>
  <si>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</si>
  <si>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</si>
  <si>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</si>
  <si>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</si>
  <si>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</si>
  <si>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</si>
  <si>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</si>
  <si>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</si>
  <si>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</si>
  <si>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</si>
  <si>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</si>
  <si>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</si>
  <si>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</si>
  <si>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</si>
  <si>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</si>
  <si>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</si>
  <si>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</si>
  <si>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</si>
  <si>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</si>
  <si>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</si>
  <si>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</si>
  <si>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</si>
  <si>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</si>
  <si>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</si>
  <si>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</si>
  <si>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</si>
  <si>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</si>
  <si>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</si>
  <si>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</si>
  <si>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</si>
  <si>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</si>
  <si>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</si>
  <si>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</si>
  <si>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</si>
  <si>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</si>
  <si>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</si>
  <si>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</si>
  <si>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</si>
  <si>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</si>
  <si>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</si>
  <si>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</si>
  <si>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</si>
  <si>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</si>
  <si>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</si>
  <si>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</si>
  <si>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</si>
  <si>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</si>
  <si>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</si>
  <si>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</si>
  <si>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</si>
  <si>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</si>
  <si>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</si>
  <si>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</si>
  <si>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</si>
  <si>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</si>
  <si>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</si>
  <si>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</si>
  <si>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</si>
  <si>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</si>
  <si>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</si>
  <si>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</si>
  <si>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</si>
  <si>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</si>
  <si>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</si>
  <si>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</si>
  <si>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</si>
  <si>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</si>
  <si>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</si>
  <si>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</si>
  <si>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</si>
  <si>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</si>
  <si>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</si>
  <si>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</si>
  <si>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</si>
  <si>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</si>
  <si>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</si>
  <si>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</si>
  <si>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</si>
  <si>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</si>
  <si>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</si>
  <si>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</si>
  <si>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</si>
  <si>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</si>
  <si>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</si>
  <si>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</si>
  <si>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</si>
  <si>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</si>
  <si>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</si>
  <si>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</si>
  <si>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</si>
  <si>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</si>
  <si>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</si>
  <si>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</si>
  <si>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</si>
  <si>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</si>
  <si>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</si>
  <si>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</si>
  <si>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</si>
  <si>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</si>
  <si>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</si>
  <si>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</si>
  <si>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</si>
  <si>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</si>
  <si>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</si>
  <si>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</si>
  <si>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</si>
  <si>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</si>
  <si>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</si>
  <si>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</si>
  <si>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</si>
  <si>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</si>
  <si>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</si>
  <si>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</si>
  <si>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</si>
  <si>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</si>
  <si>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</si>
  <si>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</si>
  <si>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</si>
  <si>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</si>
  <si>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</si>
  <si>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</si>
  <si>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</si>
  <si>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</si>
  <si>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</si>
  <si>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</si>
  <si>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</si>
  <si>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</si>
  <si>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</si>
  <si>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</si>
  <si>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</si>
  <si>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</si>
  <si>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</si>
  <si>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</si>
  <si>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</si>
  <si>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</si>
  <si>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</si>
  <si>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</si>
  <si>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</si>
  <si>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</si>
  <si>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</si>
  <si>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</si>
  <si>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</si>
  <si>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</si>
  <si>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</si>
  <si>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</si>
  <si>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</si>
  <si>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</si>
  <si>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</si>
  <si>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</si>
  <si>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</si>
  <si>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</si>
  <si>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</si>
  <si>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</si>
  <si>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</si>
  <si>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</si>
  <si>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</si>
  <si>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</si>
  <si>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</si>
  <si>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</si>
  <si>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</si>
  <si>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</si>
  <si>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</si>
  <si>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</si>
  <si>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</si>
  <si>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</si>
  <si>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</si>
  <si>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</si>
  <si>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</si>
  <si>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</si>
  <si>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</si>
  <si>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</si>
  <si>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</si>
  <si>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</si>
  <si>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</si>
  <si>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</si>
  <si>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</si>
  <si>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</si>
  <si>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</si>
  <si>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</si>
  <si>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</si>
  <si>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</si>
  <si>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</si>
  <si>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</si>
  <si>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</si>
  <si>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</si>
  <si>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</si>
  <si>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</si>
  <si>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</si>
  <si>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</si>
  <si>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</si>
  <si>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</si>
  <si>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</si>
  <si>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</si>
  <si>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</si>
  <si>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</si>
  <si>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</si>
  <si>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</si>
  <si>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</si>
  <si>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</si>
  <si>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</si>
  <si>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</si>
  <si>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</si>
  <si>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</si>
  <si>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</si>
  <si>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</si>
  <si>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</si>
  <si>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</si>
  <si>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</si>
  <si>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</si>
  <si>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</si>
  <si>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</si>
  <si>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</si>
  <si>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</si>
  <si>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</si>
  <si>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</si>
  <si>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</si>
  <si>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</si>
  <si>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</si>
  <si>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</si>
  <si>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</si>
  <si>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</si>
  <si>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</si>
  <si>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</si>
  <si>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</si>
  <si>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</si>
  <si>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</si>
  <si>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</si>
  <si>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</si>
  <si>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</si>
  <si>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</si>
  <si>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</si>
  <si>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</si>
  <si>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</si>
  <si>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</si>
  <si>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</si>
  <si>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</si>
  <si>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</si>
  <si>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</si>
  <si>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</si>
  <si>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</si>
  <si>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</si>
  <si>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</si>
  <si>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</si>
  <si>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</si>
  <si>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</si>
  <si>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</si>
  <si>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</si>
  <si>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</si>
  <si>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</si>
  <si>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</si>
  <si>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</si>
  <si>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</si>
  <si>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</si>
  <si>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</si>
  <si>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</si>
  <si>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</si>
  <si>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</si>
  <si>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</si>
  <si>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</si>
  <si>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</si>
  <si>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</si>
  <si>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</si>
  <si>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</si>
  <si>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</si>
  <si>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</si>
  <si>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</si>
  <si>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</si>
  <si>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</si>
  <si>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</si>
  <si>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</si>
  <si>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</si>
  <si>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</si>
  <si>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</si>
  <si>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</si>
  <si>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</si>
  <si>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</si>
  <si>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</si>
  <si>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</si>
  <si>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</si>
  <si>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</si>
  <si>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</si>
  <si>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</si>
  <si>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</si>
  <si>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</si>
  <si>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</si>
  <si>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</si>
  <si>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</si>
  <si>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</si>
  <si>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</si>
  <si>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</si>
  <si>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</si>
  <si>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</si>
  <si>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</si>
  <si>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</si>
  <si>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</si>
  <si>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</si>
  <si>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</si>
  <si>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</si>
  <si>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</si>
  <si>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</si>
  <si>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</si>
  <si>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</si>
  <si>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</si>
  <si>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</si>
  <si>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</si>
  <si>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</si>
  <si>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</si>
  <si>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</si>
  <si>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</si>
  <si>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</si>
  <si>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</si>
  <si>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</si>
  <si>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</si>
  <si>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</si>
  <si>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</si>
  <si>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</si>
  <si>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</si>
  <si>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</si>
  <si>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</si>
  <si>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</si>
  <si>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</si>
  <si>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</si>
  <si>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</si>
  <si>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</si>
  <si>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</si>
  <si>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</si>
  <si>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</si>
  <si>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</si>
  <si>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</si>
  <si>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</si>
  <si>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</si>
  <si>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</si>
  <si>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</si>
  <si>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</si>
  <si>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</si>
  <si>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</si>
  <si>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</si>
  <si>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</si>
  <si>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</si>
  <si>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</si>
  <si>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</si>
  <si>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</si>
  <si>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</si>
  <si>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</si>
  <si>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</si>
  <si>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</si>
  <si>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</si>
  <si>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</si>
  <si>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</si>
  <si>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</si>
  <si>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</si>
  <si>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</si>
  <si>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</si>
  <si>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</si>
  <si>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</si>
  <si>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</si>
  <si>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</si>
  <si>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</si>
  <si>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</si>
  <si>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</si>
  <si>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</si>
  <si>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</si>
  <si>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</si>
  <si>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</si>
  <si>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</si>
  <si>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</si>
  <si>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</si>
  <si>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</si>
  <si>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</si>
  <si>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</si>
  <si>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</si>
  <si>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</si>
  <si>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</si>
  <si>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</si>
  <si>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</si>
  <si>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</si>
  <si>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</si>
  <si>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</si>
  <si>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</si>
  <si>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</si>
  <si>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</si>
  <si>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</si>
  <si>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</si>
  <si>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</si>
  <si>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</si>
  <si>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</si>
  <si>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</si>
  <si>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</si>
  <si>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</si>
  <si>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</si>
  <si>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</si>
  <si>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</si>
  <si>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</si>
  <si>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</si>
  <si>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</si>
  <si>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</si>
  <si>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</si>
  <si>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</si>
  <si>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</si>
  <si>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</si>
  <si>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</si>
  <si>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</si>
  <si>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</si>
  <si>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</si>
  <si>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</si>
  <si>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</si>
  <si>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</si>
  <si>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</si>
  <si>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</si>
  <si>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</si>
  <si>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</si>
  <si>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</si>
  <si>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</si>
  <si>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</si>
  <si>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</si>
  <si>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</si>
  <si>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</si>
  <si>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</si>
  <si>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</si>
  <si>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</si>
  <si>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</si>
  <si>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</si>
  <si>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</si>
  <si>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</si>
  <si>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</si>
  <si>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</si>
  <si>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</si>
  <si>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</si>
  <si>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</si>
  <si>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</si>
  <si>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</si>
  <si>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</si>
  <si>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</si>
  <si>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</si>
  <si>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</si>
  <si>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</si>
  <si>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</si>
  <si>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</si>
  <si>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</si>
  <si>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</si>
  <si>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</si>
  <si>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</si>
  <si>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</si>
  <si>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</si>
  <si>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</si>
  <si>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</si>
  <si>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</si>
  <si>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</si>
  <si>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</si>
  <si>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</si>
  <si>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</si>
  <si>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</si>
  <si>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</si>
  <si>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</si>
  <si>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</si>
  <si>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</si>
  <si>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</si>
  <si>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</si>
  <si>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</si>
  <si>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</si>
  <si>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</si>
  <si>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</si>
  <si>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</si>
  <si>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</si>
  <si>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</si>
  <si>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</si>
  <si>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</si>
  <si>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</si>
  <si>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</si>
  <si>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</si>
  <si>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</si>
  <si>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</si>
  <si>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</si>
  <si>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</si>
  <si>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</si>
  <si>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</si>
  <si>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</si>
  <si>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</si>
  <si>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</si>
  <si>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</si>
  <si>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</si>
  <si>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</si>
  <si>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</si>
  <si>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</si>
  <si>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</si>
  <si>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</si>
  <si>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</si>
  <si>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</si>
  <si>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</si>
  <si>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</si>
  <si>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</si>
  <si>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</si>
  <si>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</si>
  <si>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</si>
  <si>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</si>
  <si>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</si>
  <si>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</si>
  <si>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</si>
  <si>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</si>
  <si>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</si>
  <si>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</si>
  <si>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</si>
  <si>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</si>
  <si>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</si>
  <si>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</si>
  <si>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</si>
  <si>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</si>
  <si>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</si>
  <si>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</si>
  <si>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</si>
  <si>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</si>
  <si>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</si>
  <si>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</si>
  <si>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</si>
  <si>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</si>
  <si>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</si>
  <si>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</si>
  <si>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</si>
  <si>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</si>
  <si>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</si>
  <si>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</si>
  <si>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</si>
  <si>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</si>
  <si>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</si>
  <si>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</si>
  <si>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</si>
  <si>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</si>
  <si>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</si>
  <si>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</si>
  <si>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</si>
  <si>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</si>
  <si>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</si>
  <si>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</si>
  <si>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</si>
  <si>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</si>
  <si>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</si>
  <si>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</si>
  <si>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</si>
  <si>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</si>
  <si>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</si>
  <si>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</si>
  <si>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</si>
  <si>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</si>
  <si>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</si>
  <si>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</si>
  <si>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</si>
  <si>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</si>
  <si>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</si>
  <si>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</si>
  <si>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</si>
  <si>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</si>
  <si>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</si>
  <si>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</si>
  <si>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</si>
  <si>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</si>
  <si>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</si>
  <si>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</si>
  <si>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</si>
  <si>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</si>
  <si>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</si>
  <si>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</si>
  <si>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</si>
  <si>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</si>
  <si>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</si>
  <si>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</si>
  <si>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</si>
  <si>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</si>
  <si>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</si>
  <si>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</si>
  <si>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</si>
  <si>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</si>
  <si>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</si>
  <si>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</si>
  <si>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</si>
  <si>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</si>
  <si>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</si>
  <si>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</si>
  <si>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</si>
  <si>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</si>
  <si>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</si>
  <si>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</si>
  <si>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</si>
  <si>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</si>
  <si>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</si>
  <si>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</si>
  <si>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</si>
  <si>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</si>
  <si>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</si>
  <si>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</si>
  <si>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</si>
  <si>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</si>
  <si>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</si>
  <si>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</si>
  <si>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</si>
  <si>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</si>
  <si>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</si>
  <si>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</si>
  <si>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</si>
  <si>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</si>
  <si>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</si>
  <si>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</si>
  <si>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</si>
  <si>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</si>
  <si>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</si>
  <si>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</si>
  <si>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</si>
  <si>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</si>
  <si>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</si>
  <si>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</si>
  <si>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</si>
  <si>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</si>
  <si>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</si>
  <si>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</si>
  <si>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</si>
  <si>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</si>
  <si>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</si>
  <si>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</si>
  <si>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</si>
  <si>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</si>
  <si>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</si>
  <si>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</si>
  <si>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</si>
  <si>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</si>
  <si>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</si>
  <si>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</si>
  <si>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</si>
  <si>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</si>
  <si>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</si>
  <si>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</si>
  <si>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</si>
  <si>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</si>
  <si>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</si>
  <si>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</si>
  <si>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</si>
  <si>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</si>
  <si>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</si>
  <si>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</si>
  <si>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</si>
  <si>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</si>
  <si>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</si>
  <si>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</si>
  <si>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</si>
  <si>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</si>
  <si>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</si>
  <si>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</si>
  <si>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</si>
  <si>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</si>
  <si>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</si>
  <si>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</si>
  <si>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</si>
  <si>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</si>
  <si>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</si>
  <si>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</si>
  <si>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</si>
  <si>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</si>
  <si>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</si>
  <si>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</si>
  <si>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</si>
  <si>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</si>
  <si>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</si>
  <si>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</si>
  <si>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</si>
  <si>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</si>
  <si>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</si>
  <si>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</si>
  <si>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</si>
  <si>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</si>
  <si>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</si>
  <si>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</si>
  <si>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</si>
  <si>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</si>
  <si>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</si>
  <si>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</si>
  <si>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</si>
  <si>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</si>
  <si>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</si>
  <si>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</si>
  <si>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</si>
  <si>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</si>
  <si>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</si>
  <si>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</si>
  <si>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</si>
  <si>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</si>
  <si>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</si>
  <si>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</si>
  <si>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</si>
  <si>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</si>
  <si>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</si>
  <si>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</si>
  <si>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</si>
  <si>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</si>
  <si>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</si>
  <si>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</si>
  <si>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</si>
  <si>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</si>
  <si>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</si>
  <si>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</si>
  <si>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</si>
  <si>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</si>
  <si>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</si>
  <si>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</si>
  <si>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</si>
  <si>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</si>
  <si>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</si>
  <si>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</si>
  <si>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</si>
  <si>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</si>
  <si>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</si>
  <si>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</si>
  <si>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</si>
  <si>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</si>
  <si>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</si>
  <si>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</si>
  <si>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</si>
  <si>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</si>
  <si>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</si>
  <si>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</si>
  <si>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</si>
  <si>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</si>
  <si>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</si>
  <si>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</si>
  <si>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</si>
  <si>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</si>
  <si>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</si>
  <si>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</si>
  <si>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</si>
  <si>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</si>
  <si>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</si>
  <si>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</si>
  <si>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</si>
  <si>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</si>
  <si>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</si>
  <si>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</si>
  <si>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</si>
  <si>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</si>
  <si>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</si>
  <si>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</si>
  <si>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</si>
  <si>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</si>
  <si>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</si>
  <si>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</si>
  <si>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</si>
  <si>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</si>
  <si>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</si>
  <si>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</si>
  <si>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</si>
  <si>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</si>
  <si>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</si>
  <si>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</si>
  <si>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</si>
  <si>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</si>
  <si>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</si>
  <si>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</si>
  <si>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</si>
  <si>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</si>
  <si>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</si>
  <si>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</si>
  <si>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</si>
  <si>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</si>
  <si>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</si>
  <si>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</si>
  <si>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</si>
  <si>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</si>
  <si>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</si>
  <si>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</si>
  <si>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</si>
  <si>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</si>
  <si>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</si>
  <si>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</si>
  <si>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</si>
  <si>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</si>
  <si>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</si>
  <si>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</si>
  <si>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</si>
  <si>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</si>
  <si>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</si>
  <si>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</si>
  <si>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</si>
  <si>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</si>
  <si>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</si>
  <si>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</si>
  <si>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</si>
  <si>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</si>
  <si>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</si>
  <si>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</si>
  <si>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</si>
  <si>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</si>
  <si>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</si>
  <si>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</si>
  <si>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</si>
  <si>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</si>
  <si>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</si>
  <si>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</si>
  <si>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</si>
  <si>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</si>
  <si>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</si>
  <si>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</si>
  <si>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</si>
  <si>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</si>
  <si>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</si>
  <si>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</si>
  <si>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</si>
  <si>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</si>
  <si>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</si>
  <si>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</si>
  <si>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</si>
  <si>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</si>
  <si>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</si>
  <si>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</si>
  <si>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</si>
  <si>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</si>
  <si>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</si>
  <si>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</si>
  <si>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</si>
  <si>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</si>
  <si>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</si>
  <si>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</si>
  <si>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</si>
  <si>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</si>
  <si>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</si>
  <si>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</si>
  <si>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</si>
  <si>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</si>
  <si>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</si>
  <si>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</si>
  <si>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</si>
  <si>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</si>
  <si>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</si>
  <si>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</si>
  <si>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</si>
  <si>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</si>
  <si>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</si>
  <si>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</si>
  <si>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</si>
  <si>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</si>
  <si>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</si>
  <si>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</si>
  <si>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</si>
  <si>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</si>
  <si>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</si>
  <si>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</si>
  <si>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</si>
  <si>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</si>
  <si>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</si>
  <si>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</si>
  <si>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</si>
  <si>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</si>
  <si>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</si>
  <si>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</si>
  <si>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</si>
  <si>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</si>
  <si>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</si>
  <si>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</si>
  <si>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</si>
  <si>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</si>
  <si>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</si>
  <si>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</si>
  <si>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</si>
  <si>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</si>
  <si>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</si>
  <si>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</si>
  <si>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</si>
  <si>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</si>
  <si>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</si>
  <si>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</si>
  <si>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</si>
  <si>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</si>
  <si>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</si>
  <si>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</si>
  <si>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</si>
  <si>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</si>
  <si>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</si>
  <si>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</si>
  <si>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</si>
  <si>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</si>
  <si>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</si>
  <si>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</si>
  <si>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</si>
  <si>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</si>
  <si>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</si>
  <si>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</si>
  <si>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</si>
  <si>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</si>
  <si>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</si>
  <si>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</si>
  <si>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</si>
  <si>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</si>
  <si>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</si>
  <si>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</si>
  <si>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</si>
  <si>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</si>
  <si>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</si>
  <si>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</si>
  <si>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</si>
  <si>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</si>
  <si>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</si>
  <si>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</si>
  <si>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</si>
  <si>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</si>
  <si>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</si>
  <si>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</si>
  <si>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</si>
  <si>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</si>
  <si>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</si>
  <si>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</si>
  <si>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</si>
  <si>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</si>
  <si>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</si>
  <si>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</si>
  <si>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</si>
  <si>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</si>
  <si>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</si>
  <si>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</si>
  <si>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</si>
  <si>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</si>
  <si>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</si>
  <si>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</si>
  <si>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</si>
  <si>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</si>
  <si>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</si>
  <si>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</si>
  <si>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</si>
  <si>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</si>
  <si>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</si>
  <si>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</si>
  <si>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</si>
  <si>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</si>
  <si>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</si>
  <si>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</si>
  <si>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</si>
  <si>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</si>
  <si>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</si>
  <si>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</si>
  <si>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</si>
  <si>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</si>
  <si>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</si>
  <si>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</si>
  <si>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</si>
  <si>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</si>
  <si>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</si>
  <si>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</si>
  <si>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</si>
  <si>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</si>
  <si>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</si>
  <si>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</si>
  <si>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</si>
  <si>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</si>
  <si>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</si>
  <si>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</si>
  <si>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</si>
  <si>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</si>
  <si>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</si>
  <si>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</si>
  <si>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</si>
  <si>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</si>
  <si>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</si>
  <si>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</si>
  <si>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</si>
  <si>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</si>
  <si>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</si>
  <si>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</si>
  <si>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</si>
  <si>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</si>
  <si>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</si>
  <si>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</si>
  <si>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</si>
  <si>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</si>
  <si>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</si>
  <si>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</si>
  <si>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</si>
  <si>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</si>
  <si>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</si>
  <si>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</si>
  <si>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</si>
  <si>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</si>
  <si>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</si>
  <si>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</si>
  <si>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</si>
  <si>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</si>
  <si>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</si>
  <si>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</si>
  <si>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</si>
  <si>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</si>
  <si>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</si>
  <si>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</si>
  <si>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</si>
  <si>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</si>
  <si>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</si>
  <si>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</si>
  <si>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</si>
  <si>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</si>
  <si>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</si>
  <si>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</si>
  <si>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</si>
  <si>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</si>
  <si>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</si>
  <si>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</si>
  <si>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</si>
  <si>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</si>
  <si>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</si>
  <si>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</si>
  <si>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</si>
  <si>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</si>
  <si>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</si>
  <si>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</si>
  <si>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</si>
  <si>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</si>
  <si>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</si>
  <si>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</si>
  <si>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</si>
  <si>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</si>
  <si>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</si>
  <si>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</si>
  <si>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</si>
  <si>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</si>
  <si>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</si>
  <si>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</si>
  <si>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</si>
  <si>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</si>
  <si>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</si>
  <si>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</si>
  <si>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</si>
  <si>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</si>
  <si>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</si>
  <si>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</si>
  <si>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</si>
  <si>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</si>
  <si>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</si>
  <si>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</si>
  <si>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</si>
  <si>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</si>
  <si>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</si>
  <si>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</si>
  <si>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</si>
  <si>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</si>
  <si>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</si>
  <si>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</si>
  <si>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</si>
  <si>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</si>
  <si>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</si>
  <si>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</si>
  <si>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</si>
  <si>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</si>
  <si>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</si>
  <si>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</si>
  <si>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</si>
  <si>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</si>
  <si>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</si>
  <si>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</si>
  <si>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</si>
  <si>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</si>
  <si>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</si>
  <si>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</si>
  <si>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</si>
  <si>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</si>
  <si>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</si>
  <si>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</si>
  <si>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</si>
  <si>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</si>
  <si>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</si>
  <si>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</si>
  <si>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</si>
  <si>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</si>
  <si>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</si>
  <si>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</si>
  <si>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</si>
  <si>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</si>
  <si>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</si>
  <si>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</si>
  <si>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</si>
  <si>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</si>
  <si>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</si>
  <si>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</si>
  <si>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</si>
  <si>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</si>
  <si>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</si>
  <si>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</si>
  <si>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</si>
  <si>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</si>
  <si>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</si>
  <si>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</si>
  <si>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</si>
  <si>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</si>
  <si>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</si>
  <si>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</si>
  <si>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</si>
  <si>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</si>
  <si>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</si>
  <si>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</si>
  <si>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</si>
  <si>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</si>
  <si>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</si>
  <si>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</si>
  <si>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</si>
  <si>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</si>
  <si>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</si>
  <si>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</si>
  <si>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</si>
  <si>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</si>
  <si>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</si>
  <si>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</si>
  <si>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</si>
  <si>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</si>
  <si>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</si>
  <si>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</si>
  <si>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</si>
  <si>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</si>
  <si>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</si>
  <si>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</si>
  <si>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</si>
  <si>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</si>
  <si>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</si>
  <si>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</si>
  <si>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</si>
  <si>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</si>
  <si>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</si>
  <si>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</si>
  <si>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</si>
  <si>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</si>
  <si>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</si>
  <si>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</si>
  <si>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</si>
  <si>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</si>
  <si>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</si>
  <si>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</si>
  <si>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</si>
  <si>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</si>
  <si>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</si>
  <si>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</si>
  <si>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</si>
  <si>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</si>
  <si>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</si>
  <si>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</si>
  <si>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</si>
  <si>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</si>
  <si>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</si>
  <si>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</si>
  <si>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</si>
  <si>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</si>
  <si>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</si>
  <si>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</si>
  <si>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</si>
  <si>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</si>
  <si>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</si>
  <si>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</si>
  <si>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</si>
  <si>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</si>
  <si>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</si>
  <si>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</si>
  <si>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</si>
  <si>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</si>
  <si>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</si>
  <si>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</si>
  <si>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</si>
  <si>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</si>
  <si>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</si>
  <si>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</si>
  <si>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</si>
  <si>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</si>
  <si>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</si>
  <si>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</si>
  <si>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</si>
  <si>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</si>
  <si>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</si>
  <si>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</si>
  <si>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</si>
  <si>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</si>
  <si>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</si>
  <si>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</si>
  <si>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</si>
  <si>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</si>
  <si>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</si>
  <si>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</si>
  <si>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</si>
  <si>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</si>
  <si>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</si>
  <si>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</si>
  <si>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</si>
  <si>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</si>
  <si>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</si>
  <si>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</si>
  <si>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</si>
  <si>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</si>
  <si>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</si>
  <si>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</si>
  <si>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</si>
  <si>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</si>
  <si>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</si>
  <si>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</si>
  <si>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</si>
  <si>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</si>
  <si>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</si>
  <si>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</si>
  <si>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</si>
  <si>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</si>
  <si>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</si>
  <si>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</si>
  <si>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</si>
  <si>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</si>
  <si>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</si>
  <si>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</si>
  <si>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</si>
  <si>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</si>
  <si>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</si>
  <si>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</si>
  <si>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</si>
  <si>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</si>
  <si>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</si>
  <si>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</si>
  <si>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</si>
  <si>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</si>
  <si>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</si>
  <si>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</si>
  <si>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</si>
  <si>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</si>
  <si>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</si>
  <si>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</si>
  <si>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</si>
  <si>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</si>
  <si>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</si>
  <si>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</si>
  <si>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</si>
  <si>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</si>
  <si>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</si>
  <si>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</si>
  <si>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</si>
  <si>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</si>
  <si>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</si>
  <si>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</si>
  <si>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</si>
  <si>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</si>
  <si>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</si>
  <si>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</si>
  <si>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</si>
  <si>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</si>
  <si>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</si>
  <si>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</si>
  <si>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</si>
  <si>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</si>
  <si>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</si>
  <si>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</si>
  <si>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</si>
  <si>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</si>
  <si>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</si>
  <si>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</si>
  <si>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</si>
  <si>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</si>
  <si>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</si>
  <si>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</si>
  <si>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</si>
  <si>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</si>
  <si>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</si>
  <si>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</si>
  <si>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</si>
  <si>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</si>
  <si>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</si>
  <si>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</si>
  <si>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</si>
  <si>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</si>
  <si>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</si>
  <si>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</si>
  <si>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</si>
  <si>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</si>
  <si>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</si>
  <si>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</si>
  <si>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</si>
  <si>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</si>
  <si>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</si>
  <si>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</si>
  <si>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</si>
  <si>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</si>
  <si>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</si>
  <si>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</si>
  <si>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</si>
  <si>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</si>
  <si>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</si>
  <si>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</si>
  <si>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</si>
  <si>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</si>
  <si>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</si>
  <si>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</si>
  <si>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</si>
  <si>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</si>
  <si>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</si>
  <si>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</si>
  <si>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</si>
  <si>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</si>
  <si>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</si>
  <si>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</si>
  <si>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</si>
  <si>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</si>
  <si>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</si>
  <si>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</si>
  <si>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</si>
  <si>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</si>
  <si>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</si>
  <si>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</si>
  <si>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</si>
  <si>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</si>
  <si>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</si>
  <si>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</si>
  <si>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</si>
  <si>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</si>
  <si>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</si>
  <si>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</si>
  <si>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</si>
  <si>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</si>
  <si>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</si>
  <si>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</si>
  <si>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</si>
  <si>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</si>
  <si>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</si>
  <si>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</si>
  <si>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</si>
  <si>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</si>
  <si>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</si>
  <si>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</si>
  <si>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</si>
  <si>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</si>
  <si>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</si>
  <si>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</si>
  <si>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</si>
  <si>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</si>
  <si>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</si>
  <si>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</si>
  <si>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</si>
  <si>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</si>
  <si>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</si>
  <si>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</si>
  <si>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</si>
  <si>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</si>
  <si>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</si>
  <si>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</si>
  <si>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</si>
  <si>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</si>
  <si>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</si>
  <si>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</si>
  <si>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</si>
  <si>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</si>
  <si>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</si>
  <si>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</si>
  <si>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</si>
  <si>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</si>
  <si>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</si>
  <si>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</si>
  <si>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</si>
  <si>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</si>
  <si>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</si>
  <si>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</si>
  <si>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</si>
  <si>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</si>
  <si>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</si>
  <si>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</si>
  <si>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</si>
  <si>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</si>
  <si>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</si>
  <si>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</si>
  <si>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</si>
  <si>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</si>
  <si>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</si>
  <si>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</si>
  <si>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</si>
  <si>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</si>
  <si>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</si>
  <si>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</si>
  <si>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</si>
  <si>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</si>
  <si>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</si>
  <si>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</si>
  <si>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</si>
  <si>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</si>
  <si>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</si>
  <si>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</si>
  <si>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</si>
  <si>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</si>
  <si>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</si>
  <si>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</si>
  <si>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</si>
  <si>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</si>
  <si>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</si>
  <si>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</si>
  <si>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</si>
  <si>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</si>
  <si>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</si>
  <si>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</si>
  <si>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</si>
  <si>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</si>
  <si>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</si>
  <si>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</si>
  <si>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</si>
  <si>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</si>
  <si>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</si>
  <si>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</si>
  <si>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</si>
  <si>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</si>
  <si>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</si>
  <si>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</si>
  <si>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</si>
  <si>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</si>
  <si>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</si>
  <si>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</si>
  <si>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</si>
  <si>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</si>
  <si>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</si>
  <si>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</si>
  <si>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</si>
  <si>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</si>
  <si>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</si>
  <si>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</si>
  <si>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</si>
  <si>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</si>
  <si>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</si>
  <si>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</si>
  <si>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</si>
  <si>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</si>
  <si>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</si>
  <si>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</si>
  <si>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</si>
  <si>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</si>
  <si>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</si>
  <si>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</si>
  <si>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</si>
  <si>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</si>
  <si>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</si>
  <si>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</si>
  <si>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</si>
  <si>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</si>
  <si>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</si>
  <si>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</si>
  <si>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</si>
  <si>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</si>
  <si>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</si>
  <si>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</si>
  <si>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</si>
  <si>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</si>
  <si>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</si>
  <si>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</si>
  <si>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</si>
  <si>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</si>
  <si>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</si>
  <si>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</si>
  <si>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</si>
  <si>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</si>
  <si>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</si>
  <si>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</si>
  <si>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</si>
  <si>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</si>
  <si>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</si>
  <si>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</si>
  <si>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</si>
  <si>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</si>
  <si>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</si>
  <si>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</si>
  <si>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</si>
  <si>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</si>
  <si>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</si>
  <si>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</si>
  <si>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</si>
  <si>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</si>
  <si>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</si>
  <si>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</si>
  <si>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</si>
  <si>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</si>
  <si>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</si>
  <si>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</si>
  <si>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</si>
  <si>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</si>
  <si>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</si>
  <si>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</si>
  <si>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</si>
  <si>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</si>
  <si>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</si>
  <si>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</si>
  <si>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</si>
  <si>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</si>
  <si>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</si>
  <si>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</si>
  <si>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</si>
  <si>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</si>
  <si>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</si>
  <si>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</si>
  <si>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</si>
  <si>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</si>
  <si>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</si>
  <si>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</si>
  <si>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</si>
  <si>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</si>
  <si>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</si>
  <si>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</si>
  <si>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</si>
  <si>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</si>
  <si>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</si>
  <si>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</si>
  <si>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</si>
  <si>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</si>
  <si>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</si>
  <si>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</si>
  <si>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</si>
  <si>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</si>
  <si>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</si>
  <si>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</si>
  <si>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</si>
  <si>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</si>
  <si>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</si>
  <si>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</si>
  <si>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</si>
  <si>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</si>
  <si>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</si>
  <si>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</si>
  <si>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</si>
  <si>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</si>
  <si>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</si>
  <si>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</si>
  <si>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</si>
  <si>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</si>
  <si>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</si>
  <si>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</si>
  <si>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</si>
  <si>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</si>
  <si>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</si>
  <si>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</si>
  <si>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</si>
  <si>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</si>
  <si>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</si>
  <si>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</si>
  <si>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</si>
  <si>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</si>
  <si>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</si>
  <si>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</si>
  <si>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</si>
  <si>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</si>
  <si>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</si>
  <si>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</si>
  <si>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</si>
  <si>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</si>
  <si>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</si>
  <si>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</si>
  <si>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</si>
  <si>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</si>
  <si>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</si>
  <si>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</si>
  <si>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</si>
  <si>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</si>
  <si>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</si>
  <si>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</si>
  <si>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</si>
  <si>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</si>
  <si>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</si>
  <si>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</si>
  <si>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</si>
  <si>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</si>
  <si>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</si>
  <si>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</si>
  <si>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</si>
  <si>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</si>
  <si>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</si>
  <si>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</si>
  <si>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</si>
  <si>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</si>
  <si>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</si>
  <si>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</si>
  <si>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</si>
  <si>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</si>
  <si>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</si>
  <si>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</si>
  <si>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</si>
  <si>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</si>
  <si>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</si>
  <si>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</si>
  <si>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</si>
  <si>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</si>
  <si>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</si>
  <si>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</si>
  <si>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</si>
  <si>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</si>
  <si>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</si>
  <si>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</si>
  <si>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</si>
  <si>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</si>
  <si>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</si>
  <si>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</si>
  <si>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</si>
  <si>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</si>
  <si>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</si>
  <si>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</si>
  <si>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</si>
  <si>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</si>
  <si>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</si>
  <si>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</si>
  <si>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</si>
  <si>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</si>
  <si>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</si>
  <si>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</si>
  <si>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</si>
  <si>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</si>
  <si>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</si>
  <si>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</si>
  <si>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</si>
  <si>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</si>
  <si>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</si>
  <si>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</si>
  <si>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</si>
  <si>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</si>
  <si>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</si>
  <si>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</si>
  <si>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</si>
  <si>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</si>
  <si>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</si>
  <si>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</si>
  <si>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</si>
  <si>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</si>
  <si>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</si>
  <si>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</si>
  <si>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</si>
  <si>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</si>
  <si>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</si>
  <si>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</si>
  <si>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</si>
  <si>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</si>
  <si>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</si>
  <si>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</si>
  <si>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</si>
  <si>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</si>
  <si>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</si>
  <si>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</si>
  <si>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</si>
  <si>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</si>
  <si>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</si>
  <si>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</si>
  <si>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</si>
  <si>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</si>
  <si>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</si>
  <si>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</si>
  <si>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</si>
  <si>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</si>
  <si>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</si>
  <si>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</si>
  <si>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</si>
  <si>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</si>
  <si>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</si>
  <si>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</si>
  <si>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</si>
  <si>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</si>
  <si>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</si>
  <si>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</si>
  <si>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</si>
  <si>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</si>
  <si>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</si>
  <si>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</si>
  <si>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</si>
  <si>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</si>
  <si>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</si>
  <si>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</si>
  <si>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</si>
  <si>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</si>
  <si>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</si>
  <si>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</si>
  <si>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</si>
  <si>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</si>
  <si>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</si>
  <si>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</si>
  <si>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</si>
  <si>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</si>
  <si>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</si>
  <si>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</si>
  <si>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</si>
  <si>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</si>
  <si>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</si>
  <si>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</si>
  <si>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</si>
  <si>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</si>
  <si>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</si>
  <si>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</si>
  <si>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</si>
  <si>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</si>
  <si>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</si>
  <si>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</si>
  <si>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</si>
  <si>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</si>
  <si>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</si>
  <si>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</si>
  <si>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</si>
  <si>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</si>
  <si>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</si>
  <si>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</si>
  <si>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</si>
  <si>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</si>
  <si>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</si>
  <si>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</si>
  <si>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</si>
  <si>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</si>
  <si>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</si>
  <si>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</si>
  <si>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</si>
  <si>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</si>
  <si>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</si>
  <si>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</si>
  <si>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</si>
  <si>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</si>
  <si>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</si>
  <si>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</si>
  <si>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</si>
  <si>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</si>
  <si>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</si>
  <si>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</si>
  <si>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</si>
  <si>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</si>
  <si>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</si>
  <si>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</si>
  <si>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</si>
  <si>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</si>
  <si>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</si>
  <si>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</si>
  <si>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</si>
  <si>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</si>
  <si>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</si>
  <si>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</si>
  <si>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</si>
  <si>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</si>
  <si>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</si>
  <si>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</si>
  <si>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</si>
  <si>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</si>
  <si>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</si>
  <si>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</si>
  <si>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</si>
  <si>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</si>
  <si>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</si>
  <si>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</si>
  <si>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</si>
  <si>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</si>
  <si>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</si>
  <si>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</si>
  <si>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</si>
  <si>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</si>
  <si>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</si>
  <si>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</si>
  <si>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</si>
  <si>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</si>
  <si>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</si>
  <si>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</si>
  <si>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</si>
  <si>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</si>
  <si>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</si>
  <si>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</si>
  <si>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</si>
  <si>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</si>
  <si>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</si>
  <si>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</si>
  <si>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</si>
  <si>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</si>
  <si>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</si>
  <si>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</si>
  <si>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</si>
  <si>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</si>
  <si>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</si>
  <si>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</si>
  <si>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</si>
  <si>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</si>
  <si>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</si>
  <si>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</si>
  <si>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</si>
  <si>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</si>
  <si>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</si>
  <si>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</si>
  <si>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</si>
  <si>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</si>
  <si>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</si>
  <si>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</si>
  <si>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</si>
  <si>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</si>
  <si>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</si>
  <si>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</si>
  <si>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</si>
  <si>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</si>
  <si>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</si>
  <si>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</si>
  <si>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</si>
  <si>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</si>
  <si>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</si>
  <si>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</si>
  <si>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</si>
  <si>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</si>
  <si>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</si>
  <si>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</si>
  <si>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</si>
  <si>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</si>
  <si>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</si>
  <si>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</si>
  <si>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</si>
  <si>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</si>
  <si>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</si>
  <si>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</si>
  <si>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</si>
  <si>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</si>
  <si>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</si>
  <si>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</si>
  <si>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</si>
  <si>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</si>
  <si>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</si>
  <si>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</si>
  <si>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</si>
  <si>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</si>
  <si>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</si>
  <si>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</si>
  <si>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</si>
  <si>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</si>
  <si>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</si>
  <si>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</si>
  <si>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</si>
  <si>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</si>
  <si>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</si>
  <si>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</si>
  <si>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</si>
  <si>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</si>
  <si>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</si>
  <si>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</si>
  <si>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</si>
  <si>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</si>
  <si>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</si>
  <si>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</si>
  <si>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</si>
  <si>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</si>
  <si>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</si>
  <si>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</si>
  <si>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</si>
  <si>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</si>
  <si>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</si>
  <si>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</si>
  <si>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</si>
  <si>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</si>
  <si>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</si>
  <si>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</si>
  <si>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</si>
  <si>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</si>
  <si>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</si>
  <si>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</si>
  <si>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</si>
  <si>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</si>
  <si>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</si>
  <si>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</si>
  <si>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</si>
  <si>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</si>
  <si>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</si>
  <si>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</si>
  <si>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</si>
  <si>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</si>
  <si>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</si>
  <si>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</si>
  <si>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</si>
  <si>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</si>
  <si>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</si>
  <si>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</si>
  <si>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</si>
  <si>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</si>
  <si>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</si>
  <si>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</si>
  <si>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</si>
  <si>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</si>
  <si>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</si>
  <si>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</si>
  <si>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</si>
  <si>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</si>
  <si>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</si>
  <si>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</si>
  <si>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</si>
  <si>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</si>
  <si>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</si>
  <si>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</si>
  <si>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</si>
  <si>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</si>
  <si>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</si>
  <si>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</si>
  <si>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</si>
  <si>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</si>
  <si>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</si>
  <si>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</si>
  <si>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</si>
  <si>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</si>
  <si>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</si>
  <si>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</si>
  <si>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</si>
  <si>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</si>
  <si>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</si>
  <si>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</si>
  <si>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</si>
  <si>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</si>
  <si>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</si>
  <si>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</si>
  <si>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</si>
  <si>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</si>
  <si>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</si>
  <si>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</si>
  <si>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</si>
  <si>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</si>
  <si>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</si>
  <si>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</si>
  <si>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</si>
  <si>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</si>
  <si>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</si>
  <si>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</si>
  <si>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</si>
  <si>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</si>
  <si>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</si>
  <si>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</si>
  <si>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</si>
  <si>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</si>
  <si>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</si>
  <si>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</si>
  <si>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</si>
  <si>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</si>
  <si>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</si>
  <si>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</si>
  <si>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</si>
  <si>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</si>
  <si>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</si>
  <si>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</si>
  <si>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</si>
  <si>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</si>
  <si>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</si>
  <si>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</si>
  <si>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</si>
  <si>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</si>
  <si>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</si>
  <si>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</si>
  <si>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</si>
  <si>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</si>
  <si>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</si>
  <si>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</si>
  <si>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</si>
  <si>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</si>
  <si>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</si>
  <si>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</si>
  <si>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</si>
  <si>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</si>
  <si>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</si>
  <si>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</si>
  <si>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</si>
  <si>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</si>
  <si>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</si>
  <si>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</si>
  <si>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</si>
  <si>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</si>
  <si>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</si>
  <si>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</si>
  <si>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</si>
  <si>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</si>
  <si>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</si>
  <si>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</si>
  <si>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</si>
  <si>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</si>
  <si>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</si>
  <si>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</si>
  <si>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</si>
  <si>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</si>
  <si>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</si>
  <si>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</si>
  <si>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</si>
  <si>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</si>
  <si>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</si>
  <si>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</si>
  <si>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</si>
  <si>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</si>
  <si>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</si>
  <si>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</si>
  <si>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</si>
  <si>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</si>
  <si>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</si>
  <si>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</si>
  <si>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</si>
  <si>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</si>
  <si>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</si>
  <si>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</si>
  <si>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</si>
  <si>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</si>
  <si>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</si>
  <si>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</si>
  <si>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</si>
  <si>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</si>
  <si>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</si>
  <si>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</si>
  <si>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</si>
  <si>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</si>
  <si>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</si>
  <si>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</si>
  <si>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</si>
  <si>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</si>
  <si>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</si>
  <si>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</si>
  <si>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</si>
  <si>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</si>
  <si>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</si>
  <si>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</si>
  <si>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</si>
  <si>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</si>
  <si>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</si>
  <si>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</si>
  <si>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</si>
  <si>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</si>
  <si>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</si>
  <si>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</si>
  <si>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</si>
  <si>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</si>
  <si>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</si>
  <si>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</si>
  <si>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</si>
  <si>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</si>
  <si>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</si>
  <si>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</si>
  <si>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</si>
  <si>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</si>
  <si>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</si>
  <si>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</si>
  <si>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</si>
  <si>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</si>
  <si>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</si>
  <si>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</si>
  <si>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</si>
  <si>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</si>
  <si>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</si>
  <si>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</si>
  <si>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</si>
  <si>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</si>
  <si>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</si>
  <si>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</si>
  <si>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</si>
  <si>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</si>
  <si>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</si>
  <si>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</si>
  <si>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</si>
  <si>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</si>
  <si>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</si>
  <si>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</si>
  <si>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</si>
  <si>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</si>
  <si>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</si>
  <si>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</si>
  <si>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</si>
  <si>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</si>
  <si>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</si>
  <si>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</si>
  <si>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</si>
  <si>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</si>
  <si>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</si>
  <si>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</si>
  <si>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</si>
  <si>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</si>
  <si>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</si>
  <si>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</si>
  <si>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</si>
  <si>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</si>
  <si>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</si>
  <si>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</si>
  <si>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</si>
  <si>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</si>
  <si>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</si>
  <si>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</si>
  <si>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</si>
  <si>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</si>
  <si>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</si>
  <si>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</si>
  <si>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</si>
  <si>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</si>
  <si>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</si>
  <si>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</si>
  <si>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</si>
  <si>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</si>
  <si>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</si>
  <si>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</si>
  <si>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</si>
  <si>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</si>
  <si>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</si>
  <si>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</si>
  <si>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</si>
  <si>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</si>
  <si>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</si>
  <si>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</si>
  <si>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</si>
  <si>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</si>
  <si>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</si>
  <si>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</si>
  <si>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</si>
  <si>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</si>
  <si>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</si>
  <si>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</si>
  <si>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</si>
  <si>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</si>
  <si>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</si>
  <si>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</si>
  <si>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</si>
  <si>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</si>
  <si>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</si>
  <si>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</si>
  <si>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</si>
  <si>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</si>
  <si>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</si>
  <si>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</si>
  <si>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</si>
  <si>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</si>
  <si>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</si>
  <si>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</si>
  <si>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</si>
  <si>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</si>
  <si>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</si>
  <si>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</si>
  <si>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</si>
  <si>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</si>
  <si>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</si>
  <si>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</si>
  <si>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</si>
  <si>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</si>
  <si>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</si>
  <si>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</si>
  <si>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</si>
  <si>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</si>
  <si>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</si>
  <si>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</si>
  <si>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</si>
  <si>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</si>
  <si>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</si>
  <si>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</si>
  <si>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</si>
  <si>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</si>
  <si>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</si>
  <si>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</si>
  <si>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</si>
  <si>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</si>
  <si>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</si>
  <si>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</si>
  <si>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</si>
  <si>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</si>
  <si>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</si>
  <si>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</si>
  <si>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</si>
  <si>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</si>
  <si>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</si>
  <si>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</si>
  <si>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</si>
  <si>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</si>
  <si>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</si>
  <si>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</si>
  <si>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</si>
  <si>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</si>
  <si>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</si>
  <si>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</si>
  <si>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</si>
  <si>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</si>
  <si>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</si>
  <si>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</si>
  <si>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</si>
  <si>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</si>
  <si>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</si>
  <si>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</si>
  <si>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</si>
  <si>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</si>
  <si>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</si>
  <si>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</si>
  <si>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</si>
  <si>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</si>
  <si>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</si>
  <si>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</si>
  <si>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</si>
  <si>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</si>
  <si>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</si>
  <si>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</si>
  <si>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</si>
  <si>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</si>
  <si>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</si>
  <si>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</si>
  <si>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</si>
  <si>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</si>
  <si>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</si>
  <si>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</si>
  <si>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</si>
  <si>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</si>
  <si>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</si>
  <si>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</si>
  <si>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</si>
  <si>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</si>
  <si>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</si>
  <si>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</si>
  <si>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</si>
  <si>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</si>
  <si>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</si>
  <si>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</si>
  <si>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</si>
  <si>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</si>
  <si>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</si>
  <si>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</si>
  <si>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</si>
  <si>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</si>
  <si>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</si>
  <si>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</si>
  <si>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</si>
  <si>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</si>
  <si>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</si>
  <si>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</si>
  <si>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</si>
  <si>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</si>
  <si>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</si>
  <si>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</si>
  <si>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</si>
  <si>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</si>
  <si>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</si>
  <si>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</si>
  <si>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</si>
  <si>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</si>
  <si>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</si>
  <si>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</si>
  <si>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</si>
  <si>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</si>
  <si>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</si>
  <si>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</si>
  <si>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يناير</t>
  </si>
  <si>
    <t>فبراير</t>
  </si>
  <si>
    <t>مارس</t>
  </si>
  <si>
    <t>أبريل</t>
  </si>
  <si>
    <t>مايو</t>
  </si>
  <si>
    <t>يونيو</t>
  </si>
  <si>
    <t>يوليو</t>
  </si>
  <si>
    <t>أغسطس</t>
  </si>
  <si>
    <t>سبتمبر</t>
  </si>
  <si>
    <t>أكتوبر</t>
  </si>
  <si>
    <t>نوفمبر</t>
  </si>
  <si>
    <t>ديسمبر</t>
  </si>
  <si>
    <t>Years (Order Date)</t>
  </si>
  <si>
    <t>Months (Order Date)</t>
  </si>
  <si>
    <t>Arabica</t>
  </si>
  <si>
    <t>Excelsa</t>
  </si>
  <si>
    <t>Librica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</si>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</sst>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167" fontId="1" fillId="0" borderId="0" xfId="0" applyNumberFormat="1" applyFont="1" applyAlignment="1">
      <alignment vertical="center"/>
    </xf>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font>
        <b/>
        <i val="0"/>
        <color theme="0"/>
        <name val="Calibri"/>
        <family val="2"/>
        <scheme val="minor"/>
      </font>
    </dxf>
    <dxf>
      <font>
        <b val="0"/>
        <i val="0"/>
        <sz val="10"/>
        <color theme="0"/>
        <name val="Calibri"/>
        <family val="2"/>
        <scheme val="minor"/>
      </font>
      <fill>
        <patternFill>
          <bgColor theme="5" tint="-0.499984740745262"/>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5" tint="-0.499984740745262"/>
        </patternFill>
      </fill>
      <border>
        <left style="thin">
          <color theme="5" tint="-0.499984740745262"/>
        </left>
        <right style="thin">
          <color theme="5" tint="-0.499984740745262"/>
        </right>
        <top style="thin">
          <color theme="5" tint="-0.499984740745262"/>
        </top>
        <bottom style="thin">
          <color theme="5"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Brown slicer style" pivot="0" table="0" count="6" xr9:uid="{B268FC98-676B-490B-8DE4-7FA7141C3C21}">
      <tableStyleElement type="wholeTable" dxfId="1"/>
      <tableStyleElement type="headerRow" dxfId="0"/>
    </tableStyle>
    <tableStyle name="Brown Timeline Style " pivot="0" table="0" count="8" xr9:uid="{326448C6-230E-4A8C-B06A-7585358369C3}">
      <tableStyleElement type="wholeTable" dxfId="4"/>
      <tableStyleElement type="headerRow" dxfId="3"/>
    </tableStyle>
    <tableStyle name="Invisible" pivot="0" table="0" count="0" xr9:uid="{8BB72267-BED1-4E34-A2E3-4DAED7F32DF4}"/>
  </tableStyles>
  <colors>
    <mruColors>
      <color rgb="FFEE833A"/>
      <color rgb="FFB35311"/>
      <color rgb="FFF19E65"/>
      <color rgb="FFDB6413"/>
      <color rgb="FFC45A12"/>
      <color rgb="FFDE6614"/>
      <color rgb="FFE56915"/>
      <color rgb="FFEF8B47"/>
      <color rgb="FFEB6C15"/>
      <color rgb="FFA94D0F"/>
    </mruColors>
  </colors>
  <extLst>
    <ext xmlns:x14="http://schemas.microsoft.com/office/spreadsheetml/2009/9/main" uri="{46F421CA-312F-682f-3DD2-61675219B42D}">
      <x14:dxfs count="4">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rown slicer style">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theme="5" tint="-0.2499465926084170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Dashboard.xlsx]TotalSales!TotalSales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Total </a:t>
            </a:r>
            <a:r>
              <a:rPr lang="en-US" b="1">
                <a:solidFill>
                  <a:schemeClr val="accent2">
                    <a:lumMod val="50000"/>
                  </a:schemeClr>
                </a:solidFill>
              </a:rPr>
              <a:t>Sales</a:t>
            </a:r>
            <a:r>
              <a:rPr lang="en-US">
                <a:solidFill>
                  <a:schemeClr val="accent2">
                    <a:lumMod val="50000"/>
                  </a:schemeClr>
                </a:solidFill>
              </a:rPr>
              <a:t> Over Time</a:t>
            </a:r>
          </a:p>
        </c:rich>
      </c:tx>
      <c:layout>
        <c:manualLayout>
          <c:xMode val="edge"/>
          <c:yMode val="edge"/>
          <c:x val="0.3539348710990502"/>
          <c:y val="3.2817627754336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C00000"/>
              </a:solidFill>
              <a:round/>
            </a:ln>
            <a:effectLst/>
          </c:spPr>
          <c:marker>
            <c:symbol val="none"/>
          </c:marker>
          <c:cat>
            <c:multiLvlStrRef>
              <c:f>TotalSales!$A$5:$B$49</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TotalSales!$C$5:$C$49</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215-46D0-BDCB-18A7D8BD8E6C}"/>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TotalSales!$A$5:$B$49</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TotalSales!$D$5:$D$49</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215-46D0-BDCB-18A7D8BD8E6C}"/>
            </c:ext>
          </c:extLst>
        </c:ser>
        <c:ser>
          <c:idx val="2"/>
          <c:order val="2"/>
          <c:tx>
            <c:strRef>
              <c:f>TotalSales!$E$3:$E$4</c:f>
              <c:strCache>
                <c:ptCount val="1"/>
                <c:pt idx="0">
                  <c:v>Librica</c:v>
                </c:pt>
              </c:strCache>
            </c:strRef>
          </c:tx>
          <c:spPr>
            <a:ln w="28575" cap="rnd">
              <a:solidFill>
                <a:schemeClr val="accent2">
                  <a:lumMod val="50000"/>
                </a:schemeClr>
              </a:solidFill>
              <a:round/>
            </a:ln>
            <a:effectLst/>
          </c:spPr>
          <c:marker>
            <c:symbol val="none"/>
          </c:marker>
          <c:cat>
            <c:multiLvlStrRef>
              <c:f>TotalSales!$A$5:$B$49</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TotalSales!$E$5:$E$49</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215-46D0-BDCB-18A7D8BD8E6C}"/>
            </c:ext>
          </c:extLst>
        </c:ser>
        <c:ser>
          <c:idx val="3"/>
          <c:order val="3"/>
          <c:tx>
            <c:strRef>
              <c:f>TotalSales!$F$3:$F$4</c:f>
              <c:strCache>
                <c:ptCount val="1"/>
                <c:pt idx="0">
                  <c:v>Robusta</c:v>
                </c:pt>
              </c:strCache>
            </c:strRef>
          </c:tx>
          <c:spPr>
            <a:ln w="28575" cap="rnd">
              <a:solidFill>
                <a:schemeClr val="accent4">
                  <a:lumMod val="60000"/>
                  <a:lumOff val="40000"/>
                </a:schemeClr>
              </a:solidFill>
              <a:round/>
            </a:ln>
            <a:effectLst/>
          </c:spPr>
          <c:marker>
            <c:symbol val="none"/>
          </c:marker>
          <c:cat>
            <c:multiLvlStrRef>
              <c:f>TotalSales!$A$5:$B$49</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TotalSales!$F$5:$F$49</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215-46D0-BDCB-18A7D8BD8E6C}"/>
            </c:ext>
          </c:extLst>
        </c:ser>
        <c:dLbls>
          <c:showLegendKey val="0"/>
          <c:showVal val="0"/>
          <c:showCatName val="0"/>
          <c:showSerName val="0"/>
          <c:showPercent val="0"/>
          <c:showBubbleSize val="0"/>
        </c:dLbls>
        <c:smooth val="0"/>
        <c:axId val="1109252943"/>
        <c:axId val="1109266383"/>
      </c:lineChart>
      <c:catAx>
        <c:axId val="110925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66383"/>
        <c:crosses val="autoZero"/>
        <c:auto val="1"/>
        <c:lblAlgn val="ctr"/>
        <c:lblOffset val="100"/>
        <c:noMultiLvlLbl val="0"/>
      </c:catAx>
      <c:valAx>
        <c:axId val="11092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5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BEA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Dashboard.xlsx]CountryBarChart!TotalSales</c:name>
    <c:fmtId val="17"/>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75000"/>
            </a:schemeClr>
          </a:solidFill>
          <a:ln w="317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31750">
            <a:solidFill>
              <a:schemeClr val="bg2"/>
            </a:solidFill>
          </a:ln>
          <a:effectLst/>
        </c:spPr>
      </c:pivotFmt>
      <c:pivotFmt>
        <c:idx val="2"/>
        <c:spPr>
          <a:solidFill>
            <a:srgbClr val="EF8B47"/>
          </a:solidFill>
          <a:ln w="31750">
            <a:solidFill>
              <a:schemeClr val="bg2"/>
            </a:solidFill>
          </a:ln>
          <a:effectLst/>
        </c:spPr>
      </c:pivotFmt>
      <c:pivotFmt>
        <c:idx val="3"/>
        <c:spPr>
          <a:solidFill>
            <a:schemeClr val="accent2">
              <a:lumMod val="75000"/>
            </a:schemeClr>
          </a:solidFill>
          <a:ln w="317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F8B47"/>
          </a:solidFill>
          <a:ln w="31750">
            <a:solidFill>
              <a:schemeClr val="bg2"/>
            </a:solidFill>
          </a:ln>
          <a:effectLst/>
        </c:spPr>
      </c:pivotFmt>
      <c:pivotFmt>
        <c:idx val="5"/>
        <c:spPr>
          <a:solidFill>
            <a:schemeClr val="accent2">
              <a:lumMod val="50000"/>
            </a:schemeClr>
          </a:solidFill>
          <a:ln w="31750">
            <a:solidFill>
              <a:schemeClr val="bg2"/>
            </a:solidFill>
          </a:ln>
          <a:effectLst/>
        </c:spPr>
      </c:pivotFmt>
      <c:pivotFmt>
        <c:idx val="6"/>
        <c:spPr>
          <a:solidFill>
            <a:schemeClr val="accent2">
              <a:lumMod val="75000"/>
            </a:schemeClr>
          </a:solidFill>
          <a:ln w="317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F8B47"/>
          </a:solidFill>
          <a:ln w="31750">
            <a:solidFill>
              <a:schemeClr val="bg2"/>
            </a:solidFill>
          </a:ln>
          <a:effectLst/>
        </c:spPr>
      </c:pivotFmt>
      <c:pivotFmt>
        <c:idx val="8"/>
        <c:spPr>
          <a:solidFill>
            <a:schemeClr val="accent2">
              <a:lumMod val="50000"/>
            </a:schemeClr>
          </a:solidFill>
          <a:ln w="31750">
            <a:solidFill>
              <a:schemeClr val="bg2"/>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lumMod val="75000"/>
              </a:schemeClr>
            </a:solidFill>
            <a:ln w="31750">
              <a:solidFill>
                <a:schemeClr val="bg2"/>
              </a:solidFill>
            </a:ln>
            <a:effectLst/>
          </c:spPr>
          <c:invertIfNegative val="0"/>
          <c:dPt>
            <c:idx val="0"/>
            <c:invertIfNegative val="0"/>
            <c:bubble3D val="0"/>
            <c:spPr>
              <a:solidFill>
                <a:srgbClr val="EF8B47"/>
              </a:solidFill>
              <a:ln w="31750">
                <a:solidFill>
                  <a:schemeClr val="bg2"/>
                </a:solidFill>
              </a:ln>
              <a:effectLst/>
            </c:spPr>
            <c:extLst>
              <c:ext xmlns:c16="http://schemas.microsoft.com/office/drawing/2014/chart" uri="{C3380CC4-5D6E-409C-BE32-E72D297353CC}">
                <c16:uniqueId val="{00000001-DD02-46E0-BC58-7895D315D8B5}"/>
              </c:ext>
            </c:extLst>
          </c:dPt>
          <c:dPt>
            <c:idx val="2"/>
            <c:invertIfNegative val="0"/>
            <c:bubble3D val="0"/>
            <c:spPr>
              <a:solidFill>
                <a:schemeClr val="accent2">
                  <a:lumMod val="50000"/>
                </a:schemeClr>
              </a:solidFill>
              <a:ln w="31750">
                <a:solidFill>
                  <a:schemeClr val="bg2"/>
                </a:solidFill>
              </a:ln>
              <a:effectLst/>
            </c:spPr>
            <c:extLst>
              <c:ext xmlns:c16="http://schemas.microsoft.com/office/drawing/2014/chart" uri="{C3380CC4-5D6E-409C-BE32-E72D297353CC}">
                <c16:uniqueId val="{00000003-DD02-46E0-BC58-7895D315D8B5}"/>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DD02-46E0-BC58-7895D315D8B5}"/>
            </c:ext>
          </c:extLst>
        </c:ser>
        <c:dLbls>
          <c:dLblPos val="outEnd"/>
          <c:showLegendKey val="0"/>
          <c:showVal val="1"/>
          <c:showCatName val="0"/>
          <c:showSerName val="0"/>
          <c:showPercent val="0"/>
          <c:showBubbleSize val="0"/>
        </c:dLbls>
        <c:gapWidth val="219"/>
        <c:axId val="1153117487"/>
        <c:axId val="1153112207"/>
      </c:barChart>
      <c:catAx>
        <c:axId val="115311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53112207"/>
        <c:crosses val="autoZero"/>
        <c:auto val="1"/>
        <c:lblAlgn val="ctr"/>
        <c:lblOffset val="100"/>
        <c:noMultiLvlLbl val="0"/>
      </c:catAx>
      <c:valAx>
        <c:axId val="1153112207"/>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5311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BEA2"/>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Dashboard.xlsx]Top5Customers!TotalSales</c:name>
    <c:fmtId val="18"/>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75000"/>
            </a:schemeClr>
          </a:solidFill>
          <a:ln w="317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31750">
            <a:solidFill>
              <a:schemeClr val="bg2"/>
            </a:solidFill>
          </a:ln>
          <a:effectLst/>
        </c:spPr>
      </c:pivotFmt>
      <c:pivotFmt>
        <c:idx val="2"/>
        <c:spPr>
          <a:solidFill>
            <a:srgbClr val="EF8B47"/>
          </a:solidFill>
          <a:ln w="31750">
            <a:solidFill>
              <a:schemeClr val="bg2"/>
            </a:solidFill>
          </a:ln>
          <a:effectLst/>
        </c:spPr>
      </c:pivotFmt>
      <c:pivotFmt>
        <c:idx val="3"/>
        <c:spPr>
          <a:solidFill>
            <a:schemeClr val="accent2">
              <a:lumMod val="75000"/>
            </a:schemeClr>
          </a:solidFill>
          <a:ln w="317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F8B47"/>
          </a:solidFill>
          <a:ln w="31750">
            <a:solidFill>
              <a:schemeClr val="bg2"/>
            </a:solidFill>
          </a:ln>
          <a:effectLst/>
        </c:spPr>
      </c:pivotFmt>
      <c:pivotFmt>
        <c:idx val="5"/>
        <c:spPr>
          <a:solidFill>
            <a:schemeClr val="accent2">
              <a:lumMod val="50000"/>
            </a:schemeClr>
          </a:solidFill>
          <a:ln w="31750">
            <a:solidFill>
              <a:schemeClr val="bg2"/>
            </a:solidFill>
          </a:ln>
          <a:effectLst/>
        </c:spPr>
      </c:pivotFmt>
      <c:pivotFmt>
        <c:idx val="6"/>
        <c:spPr>
          <a:solidFill>
            <a:schemeClr val="accent2">
              <a:lumMod val="50000"/>
            </a:schemeClr>
          </a:solidFill>
          <a:ln w="31750">
            <a:solidFill>
              <a:schemeClr val="bg2"/>
            </a:solidFill>
          </a:ln>
          <a:effectLst/>
        </c:spPr>
      </c:pivotFmt>
      <c:pivotFmt>
        <c:idx val="7"/>
        <c:spPr>
          <a:solidFill>
            <a:srgbClr val="B35311"/>
          </a:solidFill>
          <a:ln w="31750">
            <a:solidFill>
              <a:schemeClr val="bg2"/>
            </a:solidFill>
          </a:ln>
          <a:effectLst/>
        </c:spPr>
      </c:pivotFmt>
      <c:pivotFmt>
        <c:idx val="8"/>
        <c:spPr>
          <a:solidFill>
            <a:srgbClr val="EE833A"/>
          </a:solidFill>
          <a:ln w="31750">
            <a:solidFill>
              <a:schemeClr val="bg2"/>
            </a:solidFill>
          </a:ln>
          <a:effectLst/>
        </c:spPr>
      </c:pivotFmt>
      <c:pivotFmt>
        <c:idx val="9"/>
        <c:spPr>
          <a:solidFill>
            <a:srgbClr val="F19E65"/>
          </a:solidFill>
          <a:ln w="31750">
            <a:solidFill>
              <a:schemeClr val="bg2"/>
            </a:solidFill>
          </a:ln>
          <a:effectLst/>
        </c:spPr>
      </c:pivotFmt>
      <c:pivotFmt>
        <c:idx val="10"/>
        <c:spPr>
          <a:solidFill>
            <a:srgbClr val="DB6413"/>
          </a:solidFill>
          <a:ln w="31750">
            <a:solidFill>
              <a:schemeClr val="bg2"/>
            </a:solidFill>
          </a:ln>
          <a:effectLst/>
        </c:spPr>
      </c:pivotFmt>
      <c:pivotFmt>
        <c:idx val="11"/>
        <c:spPr>
          <a:solidFill>
            <a:schemeClr val="accent2">
              <a:lumMod val="75000"/>
            </a:schemeClr>
          </a:solidFill>
          <a:ln w="317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19E65"/>
          </a:solidFill>
          <a:ln w="31750">
            <a:solidFill>
              <a:schemeClr val="bg2"/>
            </a:solidFill>
          </a:ln>
          <a:effectLst/>
        </c:spPr>
      </c:pivotFmt>
      <c:pivotFmt>
        <c:idx val="13"/>
        <c:spPr>
          <a:solidFill>
            <a:srgbClr val="EE833A"/>
          </a:solidFill>
          <a:ln w="31750">
            <a:solidFill>
              <a:schemeClr val="bg2"/>
            </a:solidFill>
          </a:ln>
          <a:effectLst/>
        </c:spPr>
      </c:pivotFmt>
      <c:pivotFmt>
        <c:idx val="14"/>
        <c:spPr>
          <a:solidFill>
            <a:srgbClr val="DB6413"/>
          </a:solidFill>
          <a:ln w="31750">
            <a:solidFill>
              <a:schemeClr val="bg2"/>
            </a:solidFill>
          </a:ln>
          <a:effectLst/>
        </c:spPr>
      </c:pivotFmt>
      <c:pivotFmt>
        <c:idx val="15"/>
        <c:spPr>
          <a:solidFill>
            <a:srgbClr val="B35311"/>
          </a:solidFill>
          <a:ln w="31750">
            <a:solidFill>
              <a:schemeClr val="bg2"/>
            </a:solidFill>
          </a:ln>
          <a:effectLst/>
        </c:spPr>
      </c:pivotFmt>
      <c:pivotFmt>
        <c:idx val="16"/>
        <c:spPr>
          <a:solidFill>
            <a:schemeClr val="accent2">
              <a:lumMod val="50000"/>
            </a:schemeClr>
          </a:solidFill>
          <a:ln w="31750">
            <a:solidFill>
              <a:schemeClr val="bg2"/>
            </a:solidFill>
          </a:ln>
          <a:effectLst/>
        </c:spPr>
      </c:pivotFmt>
      <c:pivotFmt>
        <c:idx val="17"/>
        <c:spPr>
          <a:solidFill>
            <a:schemeClr val="accent2">
              <a:lumMod val="75000"/>
            </a:schemeClr>
          </a:solidFill>
          <a:ln w="31750">
            <a:solidFill>
              <a:schemeClr val="bg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19E65"/>
          </a:solidFill>
          <a:ln w="31750">
            <a:solidFill>
              <a:schemeClr val="bg2"/>
            </a:solidFill>
          </a:ln>
          <a:effectLst/>
        </c:spPr>
      </c:pivotFmt>
      <c:pivotFmt>
        <c:idx val="19"/>
        <c:spPr>
          <a:solidFill>
            <a:srgbClr val="EE833A"/>
          </a:solidFill>
          <a:ln w="31750">
            <a:solidFill>
              <a:schemeClr val="bg2"/>
            </a:solidFill>
          </a:ln>
          <a:effectLst/>
        </c:spPr>
      </c:pivotFmt>
      <c:pivotFmt>
        <c:idx val="20"/>
        <c:spPr>
          <a:solidFill>
            <a:srgbClr val="DB6413"/>
          </a:solidFill>
          <a:ln w="31750">
            <a:solidFill>
              <a:schemeClr val="bg2"/>
            </a:solidFill>
          </a:ln>
          <a:effectLst/>
        </c:spPr>
      </c:pivotFmt>
      <c:pivotFmt>
        <c:idx val="21"/>
        <c:spPr>
          <a:solidFill>
            <a:srgbClr val="B35311"/>
          </a:solidFill>
          <a:ln w="31750">
            <a:solidFill>
              <a:schemeClr val="bg2"/>
            </a:solidFill>
          </a:ln>
          <a:effectLst/>
        </c:spPr>
      </c:pivotFmt>
      <c:pivotFmt>
        <c:idx val="22"/>
        <c:spPr>
          <a:solidFill>
            <a:schemeClr val="accent2">
              <a:lumMod val="50000"/>
            </a:schemeClr>
          </a:solidFill>
          <a:ln w="31750">
            <a:solidFill>
              <a:schemeClr val="bg2"/>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2">
                <a:lumMod val="75000"/>
              </a:schemeClr>
            </a:solidFill>
            <a:ln w="31750">
              <a:solidFill>
                <a:schemeClr val="bg2"/>
              </a:solidFill>
            </a:ln>
            <a:effectLst/>
          </c:spPr>
          <c:invertIfNegative val="0"/>
          <c:dPt>
            <c:idx val="0"/>
            <c:invertIfNegative val="0"/>
            <c:bubble3D val="0"/>
            <c:spPr>
              <a:solidFill>
                <a:srgbClr val="F19E65"/>
              </a:solidFill>
              <a:ln w="31750">
                <a:solidFill>
                  <a:schemeClr val="bg2"/>
                </a:solidFill>
              </a:ln>
              <a:effectLst/>
            </c:spPr>
            <c:extLst>
              <c:ext xmlns:c16="http://schemas.microsoft.com/office/drawing/2014/chart" uri="{C3380CC4-5D6E-409C-BE32-E72D297353CC}">
                <c16:uniqueId val="{00000001-6E14-4266-8556-8E6C56806785}"/>
              </c:ext>
            </c:extLst>
          </c:dPt>
          <c:dPt>
            <c:idx val="1"/>
            <c:invertIfNegative val="0"/>
            <c:bubble3D val="0"/>
            <c:spPr>
              <a:solidFill>
                <a:srgbClr val="EE833A"/>
              </a:solidFill>
              <a:ln w="31750">
                <a:solidFill>
                  <a:schemeClr val="bg2"/>
                </a:solidFill>
              </a:ln>
              <a:effectLst/>
            </c:spPr>
            <c:extLst>
              <c:ext xmlns:c16="http://schemas.microsoft.com/office/drawing/2014/chart" uri="{C3380CC4-5D6E-409C-BE32-E72D297353CC}">
                <c16:uniqueId val="{00000003-6E14-4266-8556-8E6C56806785}"/>
              </c:ext>
            </c:extLst>
          </c:dPt>
          <c:dPt>
            <c:idx val="2"/>
            <c:invertIfNegative val="0"/>
            <c:bubble3D val="0"/>
            <c:spPr>
              <a:solidFill>
                <a:srgbClr val="DB6413"/>
              </a:solidFill>
              <a:ln w="31750">
                <a:solidFill>
                  <a:schemeClr val="bg2"/>
                </a:solidFill>
              </a:ln>
              <a:effectLst/>
            </c:spPr>
            <c:extLst>
              <c:ext xmlns:c16="http://schemas.microsoft.com/office/drawing/2014/chart" uri="{C3380CC4-5D6E-409C-BE32-E72D297353CC}">
                <c16:uniqueId val="{00000005-6E14-4266-8556-8E6C56806785}"/>
              </c:ext>
            </c:extLst>
          </c:dPt>
          <c:dPt>
            <c:idx val="3"/>
            <c:invertIfNegative val="0"/>
            <c:bubble3D val="0"/>
            <c:spPr>
              <a:solidFill>
                <a:srgbClr val="B35311"/>
              </a:solidFill>
              <a:ln w="31750">
                <a:solidFill>
                  <a:schemeClr val="bg2"/>
                </a:solidFill>
              </a:ln>
              <a:effectLst/>
            </c:spPr>
            <c:extLst>
              <c:ext xmlns:c16="http://schemas.microsoft.com/office/drawing/2014/chart" uri="{C3380CC4-5D6E-409C-BE32-E72D297353CC}">
                <c16:uniqueId val="{00000007-6E14-4266-8556-8E6C56806785}"/>
              </c:ext>
            </c:extLst>
          </c:dPt>
          <c:dPt>
            <c:idx val="4"/>
            <c:invertIfNegative val="0"/>
            <c:bubble3D val="0"/>
            <c:spPr>
              <a:solidFill>
                <a:schemeClr val="accent2">
                  <a:lumMod val="50000"/>
                </a:schemeClr>
              </a:solidFill>
              <a:ln w="31750">
                <a:solidFill>
                  <a:schemeClr val="bg2"/>
                </a:solidFill>
              </a:ln>
              <a:effectLst/>
            </c:spPr>
            <c:extLst>
              <c:ext xmlns:c16="http://schemas.microsoft.com/office/drawing/2014/chart" uri="{C3380CC4-5D6E-409C-BE32-E72D297353CC}">
                <c16:uniqueId val="{00000009-6E14-4266-8556-8E6C56806785}"/>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6E14-4266-8556-8E6C56806785}"/>
            </c:ext>
          </c:extLst>
        </c:ser>
        <c:dLbls>
          <c:dLblPos val="outEnd"/>
          <c:showLegendKey val="0"/>
          <c:showVal val="1"/>
          <c:showCatName val="0"/>
          <c:showSerName val="0"/>
          <c:showPercent val="0"/>
          <c:showBubbleSize val="0"/>
        </c:dLbls>
        <c:gapWidth val="219"/>
        <c:axId val="1153117487"/>
        <c:axId val="1153112207"/>
      </c:barChart>
      <c:catAx>
        <c:axId val="115311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53112207"/>
        <c:crosses val="autoZero"/>
        <c:auto val="1"/>
        <c:lblAlgn val="ctr"/>
        <c:lblOffset val="100"/>
        <c:noMultiLvlLbl val="0"/>
      </c:catAx>
      <c:valAx>
        <c:axId val="1153112207"/>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5311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BEA2"/>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95250</xdr:colOff>
      <xdr:row>1</xdr:row>
      <xdr:rowOff>31750</xdr:rowOff>
    </xdr:from>
    <xdr:to>
      <xdr:col>26</xdr:col>
      <xdr:colOff>0</xdr:colOff>
      <xdr:row>4</xdr:row>
      <xdr:rowOff>148167</xdr:rowOff>
    </xdr:to>
    <xdr:sp macro="" textlink="">
      <xdr:nvSpPr>
        <xdr:cNvPr id="2" name="TextBox 1">
          <a:extLst>
            <a:ext uri="{FF2B5EF4-FFF2-40B4-BE49-F238E27FC236}">
              <a16:creationId xmlns:a16="http://schemas.microsoft.com/office/drawing/2014/main" id="{DE32CC5A-8A3D-F002-22ED-7185765F7834}"/>
            </a:ext>
          </a:extLst>
        </xdr:cNvPr>
        <xdr:cNvSpPr txBox="1"/>
      </xdr:nvSpPr>
      <xdr:spPr>
        <a:xfrm>
          <a:off x="95250" y="95250"/>
          <a:ext cx="15377583" cy="656167"/>
        </a:xfrm>
        <a:prstGeom prst="rect">
          <a:avLst/>
        </a:prstGeom>
        <a:solidFill>
          <a:schemeClr val="accent2">
            <a:lumMod val="50000"/>
          </a:schemeClr>
        </a:solidFill>
        <a:ln w="9525" cmpd="sng">
          <a:solidFill>
            <a:srgbClr val="EE833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a:solidFill>
                <a:schemeClr val="bg1"/>
              </a:solidFill>
            </a:rPr>
            <a:t>COFFEE SALES DASHBOARD</a:t>
          </a:r>
        </a:p>
      </xdr:txBody>
    </xdr:sp>
    <xdr:clientData/>
  </xdr:twoCellAnchor>
  <xdr:twoCellAnchor>
    <xdr:from>
      <xdr:col>0</xdr:col>
      <xdr:colOff>119379</xdr:colOff>
      <xdr:row>16</xdr:row>
      <xdr:rowOff>97972</xdr:rowOff>
    </xdr:from>
    <xdr:to>
      <xdr:col>15</xdr:col>
      <xdr:colOff>21771</xdr:colOff>
      <xdr:row>39</xdr:row>
      <xdr:rowOff>158750</xdr:rowOff>
    </xdr:to>
    <xdr:graphicFrame macro="">
      <xdr:nvGraphicFramePr>
        <xdr:cNvPr id="3" name="Chart 2">
          <a:extLst>
            <a:ext uri="{FF2B5EF4-FFF2-40B4-BE49-F238E27FC236}">
              <a16:creationId xmlns:a16="http://schemas.microsoft.com/office/drawing/2014/main" id="{EE2F3C8F-CC82-4B8B-9C68-ECD3CCF59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21166</xdr:colOff>
      <xdr:row>5</xdr:row>
      <xdr:rowOff>74083</xdr:rowOff>
    </xdr:from>
    <xdr:to>
      <xdr:col>18</xdr:col>
      <xdr:colOff>592666</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9B15C03F-767C-466F-91F6-B9E6D32E028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1482" y="876188"/>
              <a:ext cx="10934700" cy="19552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63500</xdr:colOff>
      <xdr:row>10</xdr:row>
      <xdr:rowOff>0</xdr:rowOff>
    </xdr:from>
    <xdr:to>
      <xdr:col>22</xdr:col>
      <xdr:colOff>285750</xdr:colOff>
      <xdr:row>16</xdr:row>
      <xdr:rowOff>10582</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EFFC822-BA63-497E-B62D-62130768775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156616" y="1724526"/>
              <a:ext cx="2051050" cy="1117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52917</xdr:colOff>
      <xdr:row>5</xdr:row>
      <xdr:rowOff>63500</xdr:rowOff>
    </xdr:from>
    <xdr:to>
      <xdr:col>26</xdr:col>
      <xdr:colOff>31750</xdr:colOff>
      <xdr:row>9</xdr:row>
      <xdr:rowOff>126999</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BF6CDF1B-6454-445C-B53E-B8EA043C395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146033" y="865605"/>
              <a:ext cx="4246033" cy="801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328084</xdr:colOff>
      <xdr:row>9</xdr:row>
      <xdr:rowOff>169334</xdr:rowOff>
    </xdr:from>
    <xdr:to>
      <xdr:col>25</xdr:col>
      <xdr:colOff>603250</xdr:colOff>
      <xdr:row>15</xdr:row>
      <xdr:rowOff>169334</xdr:rowOff>
    </xdr:to>
    <mc:AlternateContent xmlns:mc="http://schemas.openxmlformats.org/markup-compatibility/2006">
      <mc:Choice xmlns:a14="http://schemas.microsoft.com/office/drawing/2010/main" Requires="a14">
        <xdr:graphicFrame macro="">
          <xdr:nvGraphicFramePr>
            <xdr:cNvPr id="7" name="Loyality Card">
              <a:extLst>
                <a:ext uri="{FF2B5EF4-FFF2-40B4-BE49-F238E27FC236}">
                  <a16:creationId xmlns:a16="http://schemas.microsoft.com/office/drawing/2014/main" id="{EE95F4F6-F8DD-4835-BBC9-184DD1CE9B48}"/>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3250000" y="1709376"/>
              <a:ext cx="2103966" cy="1106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87585</xdr:colOff>
      <xdr:row>16</xdr:row>
      <xdr:rowOff>100361</xdr:rowOff>
    </xdr:from>
    <xdr:to>
      <xdr:col>26</xdr:col>
      <xdr:colOff>65690</xdr:colOff>
      <xdr:row>26</xdr:row>
      <xdr:rowOff>105103</xdr:rowOff>
    </xdr:to>
    <xdr:graphicFrame macro="">
      <xdr:nvGraphicFramePr>
        <xdr:cNvPr id="8" name="Chart 7">
          <a:extLst>
            <a:ext uri="{FF2B5EF4-FFF2-40B4-BE49-F238E27FC236}">
              <a16:creationId xmlns:a16="http://schemas.microsoft.com/office/drawing/2014/main" id="{388AFFE9-DA1C-4E5D-AB76-4A89AFAA2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81745</xdr:colOff>
      <xdr:row>26</xdr:row>
      <xdr:rowOff>171523</xdr:rowOff>
    </xdr:from>
    <xdr:to>
      <xdr:col>26</xdr:col>
      <xdr:colOff>52552</xdr:colOff>
      <xdr:row>39</xdr:row>
      <xdr:rowOff>144517</xdr:rowOff>
    </xdr:to>
    <xdr:graphicFrame macro="">
      <xdr:nvGraphicFramePr>
        <xdr:cNvPr id="9" name="Chart 8">
          <a:extLst>
            <a:ext uri="{FF2B5EF4-FFF2-40B4-BE49-F238E27FC236}">
              <a16:creationId xmlns:a16="http://schemas.microsoft.com/office/drawing/2014/main" id="{911C1B6C-423B-4BED-8A79-BD9EED40A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eej" refreshedDate="46081.570455092595" createdVersion="8" refreshedVersion="8" minRefreshableVersion="3" recordCount="1000" xr:uid="{0186B21D-FBFE-47A6-BAD5-03A255F2B748}">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يناير"/>
          <s v="فبراير"/>
          <s v="مارس"/>
          <s v="أبريل"/>
          <s v="مايو"/>
          <s v="يونيو"/>
          <s v="يوليو"/>
          <s v="أغسطس"/>
          <s v="سبتمبر"/>
          <s v="أكتوبر"/>
          <s v="نوفمبر"/>
          <s v="ديسمبر"/>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70852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EFF40-26DF-478D-AE5D-B86E38892324}"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G49" firstHeaderRow="1" firstDataRow="2" firstDataCol="2"/>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4" numFmtId="168"/>
  </dataFields>
  <chartFormats count="9">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 chart="7" format="4"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F683E5-AE9E-4987-9B84-C79C7347F23F}"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7"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9"/>
  </dataFields>
  <chartFormats count="8">
    <chartFormat chart="7"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60429-EA4E-4010-9881-F9493D43EE0E}"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9"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9"/>
  </dataFields>
  <chartFormats count="16">
    <chartFormat chart="7"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5" count="1" selected="0">
            <x v="28"/>
          </reference>
        </references>
      </pivotArea>
    </chartFormat>
    <chartFormat chart="16" format="7">
      <pivotArea type="data" outline="0" fieldPosition="0">
        <references count="2">
          <reference field="4294967294" count="1" selected="0">
            <x v="0"/>
          </reference>
          <reference field="5" count="1" selected="0">
            <x v="125"/>
          </reference>
        </references>
      </pivotArea>
    </chartFormat>
    <chartFormat chart="16" format="8">
      <pivotArea type="data" outline="0" fieldPosition="0">
        <references count="2">
          <reference field="4294967294" count="1" selected="0">
            <x v="0"/>
          </reference>
          <reference field="5" count="1" selected="0">
            <x v="646"/>
          </reference>
        </references>
      </pivotArea>
    </chartFormat>
    <chartFormat chart="16" format="9">
      <pivotArea type="data" outline="0" fieldPosition="0">
        <references count="2">
          <reference field="4294967294" count="1" selected="0">
            <x v="0"/>
          </reference>
          <reference field="5" count="1" selected="0">
            <x v="255"/>
          </reference>
        </references>
      </pivotArea>
    </chartFormat>
    <chartFormat chart="16" format="10">
      <pivotArea type="data" outline="0" fieldPosition="0">
        <references count="2">
          <reference field="4294967294" count="1" selected="0">
            <x v="0"/>
          </reference>
          <reference field="5" count="1" selected="0">
            <x v="831"/>
          </reference>
        </references>
      </pivotArea>
    </chartFormat>
    <chartFormat chart="18" format="17" series="1">
      <pivotArea type="data" outline="0" fieldPosition="0">
        <references count="1">
          <reference field="4294967294" count="1" selected="0">
            <x v="0"/>
          </reference>
        </references>
      </pivotArea>
    </chartFormat>
    <chartFormat chart="18" format="18">
      <pivotArea type="data" outline="0" fieldPosition="0">
        <references count="2">
          <reference field="4294967294" count="1" selected="0">
            <x v="0"/>
          </reference>
          <reference field="5" count="1" selected="0">
            <x v="255"/>
          </reference>
        </references>
      </pivotArea>
    </chartFormat>
    <chartFormat chart="18" format="19">
      <pivotArea type="data" outline="0" fieldPosition="0">
        <references count="2">
          <reference field="4294967294" count="1" selected="0">
            <x v="0"/>
          </reference>
          <reference field="5" count="1" selected="0">
            <x v="646"/>
          </reference>
        </references>
      </pivotArea>
    </chartFormat>
    <chartFormat chart="18" format="20">
      <pivotArea type="data" outline="0" fieldPosition="0">
        <references count="2">
          <reference field="4294967294" count="1" selected="0">
            <x v="0"/>
          </reference>
          <reference field="5" count="1" selected="0">
            <x v="831"/>
          </reference>
        </references>
      </pivotArea>
    </chartFormat>
    <chartFormat chart="18" format="21">
      <pivotArea type="data" outline="0" fieldPosition="0">
        <references count="2">
          <reference field="4294967294" count="1" selected="0">
            <x v="0"/>
          </reference>
          <reference field="5" count="1" selected="0">
            <x v="125"/>
          </reference>
        </references>
      </pivotArea>
    </chartFormat>
    <chartFormat chart="18" format="22">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4A5FE97-1FA3-4810-ADC2-D308C331CEAF}" sourceName="Size">
  <pivotTables>
    <pivotTable tabId="18" name="TotalSales"/>
    <pivotTable tabId="19" name="TotalSales"/>
    <pivotTable tabId="20" name="TotalSales"/>
  </pivotTables>
  <data>
    <tabular pivotCacheId="77085203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2D6A207-3ACE-4C02-9877-C0667A53A7FE}" sourceName="Roast Type Name">
  <pivotTables>
    <pivotTable tabId="18" name="TotalSales"/>
    <pivotTable tabId="19" name="TotalSales"/>
    <pivotTable tabId="20" name="TotalSales"/>
  </pivotTables>
  <data>
    <tabular pivotCacheId="77085203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7A6F2546-D754-4AAD-8C43-0894A83B9B79}" sourceName="Loyality Card">
  <pivotTables>
    <pivotTable tabId="18" name="TotalSales"/>
    <pivotTable tabId="19" name="TotalSales"/>
    <pivotTable tabId="20" name="TotalSales"/>
  </pivotTables>
  <data>
    <tabular pivotCacheId="7708520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9883E56-1490-49ED-99A8-7D06EA99945D}" cache="Slicer_Size" caption="Size" columnCount="2" style="Brown slicer style" rowHeight="234950"/>
  <slicer name="Roast Type Name" xr10:uid="{042B315C-38F8-42FF-82B3-D3E6A749CB85}" cache="Slicer_Roast_Type_Name" caption="Roast Type Name" columnCount="3" style="Brown slicer style" rowHeight="234950"/>
  <slicer name="Loyality Card" xr10:uid="{3543ED99-9E48-483E-AE1A-648D9808B3DD}" cache="Slicer_Loyality_Card" caption="Loyality Card" style="Brown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0EFC0E-17EA-4FB7-87A3-63C154007E16}" name="Table1" displayName="Table1" ref="A1:P1001" totalsRowShown="0" headerRowDxfId="5">
  <autoFilter ref="A1:P1001" xr:uid="{9E0EFC0E-17EA-4FB7-87A3-63C154007E16}"/>
  <tableColumns count="16">
    <tableColumn id="1" xr3:uid="{8B1D26C9-0EFE-4BE6-87ED-79A01C0B3DF5}" name="Order ID" dataDxfId="15"/>
    <tableColumn id="2" xr3:uid="{75DA3C18-47C6-408D-9F78-4087B1E52420}" name="Order Date" dataDxfId="14"/>
    <tableColumn id="3" xr3:uid="{86CFD15B-75D2-4908-8494-2BDD30AA6985}" name="Customer ID" dataDxfId="13"/>
    <tableColumn id="4" xr3:uid="{08C1C74E-C1B1-4B1E-9062-86D354129C9A}" name="Product ID"/>
    <tableColumn id="5" xr3:uid="{B43652D1-1C96-4D21-AEB7-3246FE104C89}" name="Quantity" dataDxfId="12"/>
    <tableColumn id="6" xr3:uid="{9B43D73B-3340-4474-8211-AD9C5C2EC03D}" name="Customer Name" dataDxfId="11">
      <calculatedColumnFormula>_xlfn.XLOOKUP(C2,customers!$A$1:$A$1001,customers!$B$1:$B$1001,,0)</calculatedColumnFormula>
    </tableColumn>
    <tableColumn id="7" xr3:uid="{BB4189AE-8BB5-477D-9521-9DA4DC75BC89}" name="Email" dataDxfId="10">
      <calculatedColumnFormula>IF(_xlfn.XLOOKUP(C2,customers!$A$1:$A$1001,customers!$C$1:$C$1001,,0)=0,"",_xlfn.XLOOKUP(C2,customers!$A$1:$A$1001,customers!$C$1:$C$1001,,0))</calculatedColumnFormula>
    </tableColumn>
    <tableColumn id="8" xr3:uid="{F3B0C024-6F40-4B68-8497-9400200239D5}" name="Country" dataDxfId="9">
      <calculatedColumnFormula>_xlfn.XLOOKUP(C2,customers!$A$1:$A$1001,customers!$G$1:$G$1001,,0)</calculatedColumnFormula>
    </tableColumn>
    <tableColumn id="9" xr3:uid="{C6B6C3C3-C309-42E9-93F3-2FCF42F8E1D5}" name="Coffee Type">
      <calculatedColumnFormula>INDEX(products!$A$1:$G$49,MATCH(orders!$D2,products!$A$1:$A$49,0),MATCH(orders!I$1,products!$A$1:$G$1,0))</calculatedColumnFormula>
    </tableColumn>
    <tableColumn id="10" xr3:uid="{88D10D04-FF15-469A-965E-AB3CC47E478C}" name="Roast Type">
      <calculatedColumnFormula>INDEX(products!$A$1:$G$49,MATCH(orders!$D2,products!$A$1:$A$49,0),MATCH(orders!J$1,products!$A$1:$G$1,0))</calculatedColumnFormula>
    </tableColumn>
    <tableColumn id="11" xr3:uid="{740A723F-1C77-4DCE-9E65-6701FF3182FD}" name="Size" dataDxfId="8">
      <calculatedColumnFormula>INDEX(products!$A$1:$G$49,MATCH(orders!$D2,products!$A$1:$A$49,0),MATCH(orders!K$1,products!$A$1:$G$1,0))</calculatedColumnFormula>
    </tableColumn>
    <tableColumn id="12" xr3:uid="{835BFCFD-E2A3-4F29-B05D-E30D52F7F5ED}" name="Unit Price" dataDxfId="7">
      <calculatedColumnFormula>INDEX(products!$A$1:$G$49,MATCH(orders!$D2,products!$A$1:$A$49,0),MATCH(orders!L$1,products!$A$1:$G$1,0))</calculatedColumnFormula>
    </tableColumn>
    <tableColumn id="13" xr3:uid="{7A365DA2-D076-47CB-B60F-999EC42BB4E0}" name="Sales" dataDxfId="6">
      <calculatedColumnFormula>L2*E2</calculatedColumnFormula>
    </tableColumn>
    <tableColumn id="14" xr3:uid="{C77C147B-0162-423A-AE44-C113E6B1C23D}" name="Coffee Type Name">
      <calculatedColumnFormula>IF(I2="Rob","Robusta",IF(I2="Exc","Excelsa",IF(I2="Ara","Arabica",IF(I2="Lib","Librica",""))))</calculatedColumnFormula>
    </tableColumn>
    <tableColumn id="15" xr3:uid="{9757E102-8C1A-4533-9490-653CA0715DBE}" name="Roast Type Name">
      <calculatedColumnFormula>IF(J2="M","Medium",IF(J2="L","Light",IF(J2="D","Dark","")))</calculatedColumnFormula>
    </tableColumn>
    <tableColumn id="16" xr3:uid="{AFE34489-A810-4EE4-B4E4-6C322751CFCB}" name="Loyality Card" dataDxfId="2">
      <calculatedColumnFormula>_xlfn.XLOOKUP(Table1[[#This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A840E3A-A90B-4C14-A631-BB2E43F00BB2}" sourceName="Order Date">
  <pivotTables>
    <pivotTable tabId="18" name="TotalSales"/>
    <pivotTable tabId="19" name="TotalSales"/>
    <pivotTable tabId="20" name="TotalSales"/>
  </pivotTables>
  <state minimalRefreshVersion="6" lastRefreshVersion="6" pivotCacheId="77085203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743BB13-98B7-4DE0-9E61-AD9ABC518B24}" cache="NativeTimeline_Order_Date" caption="Order Date" level="2" selectionLevel="2" scrollPosition="2019-01-01T00:00:00" style="Brown Timeline Styl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B441-A007-475C-8C7B-AB2368A34FB6}">
  <dimension ref="A1"/>
  <sheetViews>
    <sheetView showGridLines="0" showRowColHeaders="0" tabSelected="1" zoomScale="95" workbookViewId="0">
      <selection activeCell="AA14" sqref="AA14"/>
    </sheetView>
  </sheetViews>
  <sheetFormatPr defaultRowHeight="14.4" x14ac:dyDescent="0.3"/>
  <cols>
    <col min="1" max="1" width="1.777343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41E0C-AE3C-4F07-A27E-77F849646634}">
  <dimension ref="A3:G49"/>
  <sheetViews>
    <sheetView topLeftCell="E1" zoomScale="86" workbookViewId="0">
      <selection activeCell="F21" sqref="F21"/>
    </sheetView>
  </sheetViews>
  <sheetFormatPr defaultRowHeight="14.4" x14ac:dyDescent="0.3"/>
  <cols>
    <col min="1" max="1" width="12.5546875" bestFit="1" customWidth="1"/>
    <col min="2" max="2" width="22.21875" bestFit="1" customWidth="1"/>
    <col min="3" max="6" width="19.6640625" bestFit="1" customWidth="1"/>
    <col min="7" max="7" width="11.33203125" bestFit="1" customWidth="1"/>
  </cols>
  <sheetData>
    <row r="3" spans="1:7" x14ac:dyDescent="0.3">
      <c r="A3" s="7" t="s">
        <v>6221</v>
      </c>
      <c r="C3" s="7" t="s">
        <v>6196</v>
      </c>
    </row>
    <row r="4" spans="1:7" x14ac:dyDescent="0.3">
      <c r="A4" s="7" t="s">
        <v>6215</v>
      </c>
      <c r="B4" s="7" t="s">
        <v>6216</v>
      </c>
      <c r="C4" t="s">
        <v>6217</v>
      </c>
      <c r="D4" t="s">
        <v>6218</v>
      </c>
      <c r="E4" t="s">
        <v>6219</v>
      </c>
      <c r="F4" t="s">
        <v>6220</v>
      </c>
      <c r="G4" t="s">
        <v>6198</v>
      </c>
    </row>
    <row r="5" spans="1:7" x14ac:dyDescent="0.3">
      <c r="A5" t="s">
        <v>6199</v>
      </c>
      <c r="B5" t="s">
        <v>6203</v>
      </c>
      <c r="C5" s="8">
        <v>186.85499999999999</v>
      </c>
      <c r="D5" s="8">
        <v>305.97000000000003</v>
      </c>
      <c r="E5" s="8">
        <v>213.15999999999997</v>
      </c>
      <c r="F5" s="8">
        <v>123</v>
      </c>
      <c r="G5" s="8">
        <v>828.98500000000001</v>
      </c>
    </row>
    <row r="6" spans="1:7" x14ac:dyDescent="0.3">
      <c r="B6" t="s">
        <v>6204</v>
      </c>
      <c r="C6" s="8">
        <v>251.96499999999997</v>
      </c>
      <c r="D6" s="8">
        <v>129.46</v>
      </c>
      <c r="E6" s="8">
        <v>434.03999999999996</v>
      </c>
      <c r="F6" s="8">
        <v>171.93999999999997</v>
      </c>
      <c r="G6" s="8">
        <v>987.40499999999986</v>
      </c>
    </row>
    <row r="7" spans="1:7" x14ac:dyDescent="0.3">
      <c r="B7" t="s">
        <v>6205</v>
      </c>
      <c r="C7" s="8">
        <v>224.94499999999999</v>
      </c>
      <c r="D7" s="8">
        <v>349.12</v>
      </c>
      <c r="E7" s="8">
        <v>321.04000000000002</v>
      </c>
      <c r="F7" s="8">
        <v>126.035</v>
      </c>
      <c r="G7" s="8">
        <v>1021.14</v>
      </c>
    </row>
    <row r="8" spans="1:7" x14ac:dyDescent="0.3">
      <c r="B8" t="s">
        <v>6206</v>
      </c>
      <c r="C8" s="8">
        <v>307.12</v>
      </c>
      <c r="D8" s="8">
        <v>681.07499999999993</v>
      </c>
      <c r="E8" s="8">
        <v>533.70499999999993</v>
      </c>
      <c r="F8" s="8">
        <v>158.85</v>
      </c>
      <c r="G8" s="8">
        <v>1680.7499999999998</v>
      </c>
    </row>
    <row r="9" spans="1:7" x14ac:dyDescent="0.3">
      <c r="B9" t="s">
        <v>6207</v>
      </c>
      <c r="C9" s="8">
        <v>53.664999999999992</v>
      </c>
      <c r="D9" s="8">
        <v>83.025000000000006</v>
      </c>
      <c r="E9" s="8">
        <v>193.83499999999998</v>
      </c>
      <c r="F9" s="8">
        <v>68.039999999999992</v>
      </c>
      <c r="G9" s="8">
        <v>398.56499999999994</v>
      </c>
    </row>
    <row r="10" spans="1:7" x14ac:dyDescent="0.3">
      <c r="B10" t="s">
        <v>6208</v>
      </c>
      <c r="C10" s="8">
        <v>163.01999999999998</v>
      </c>
      <c r="D10" s="8">
        <v>678.3599999999999</v>
      </c>
      <c r="E10" s="8">
        <v>171.04500000000002</v>
      </c>
      <c r="F10" s="8">
        <v>372.255</v>
      </c>
      <c r="G10" s="8">
        <v>1384.6799999999998</v>
      </c>
    </row>
    <row r="11" spans="1:7" x14ac:dyDescent="0.3">
      <c r="B11" t="s">
        <v>6209</v>
      </c>
      <c r="C11" s="8">
        <v>345.02</v>
      </c>
      <c r="D11" s="8">
        <v>273.86999999999995</v>
      </c>
      <c r="E11" s="8">
        <v>184.12999999999997</v>
      </c>
      <c r="F11" s="8">
        <v>201.11499999999998</v>
      </c>
      <c r="G11" s="8">
        <v>1004.1349999999999</v>
      </c>
    </row>
    <row r="12" spans="1:7" x14ac:dyDescent="0.3">
      <c r="B12" t="s">
        <v>6210</v>
      </c>
      <c r="C12" s="8">
        <v>334.89</v>
      </c>
      <c r="D12" s="8">
        <v>70.95</v>
      </c>
      <c r="E12" s="8">
        <v>134.23000000000002</v>
      </c>
      <c r="F12" s="8">
        <v>166.27499999999998</v>
      </c>
      <c r="G12" s="8">
        <v>706.34499999999991</v>
      </c>
    </row>
    <row r="13" spans="1:7" x14ac:dyDescent="0.3">
      <c r="B13" t="s">
        <v>6211</v>
      </c>
      <c r="C13" s="8">
        <v>178.70999999999998</v>
      </c>
      <c r="D13" s="8">
        <v>166.1</v>
      </c>
      <c r="E13" s="8">
        <v>439.30999999999995</v>
      </c>
      <c r="F13" s="8">
        <v>492.9</v>
      </c>
      <c r="G13" s="8">
        <v>1277.02</v>
      </c>
    </row>
    <row r="14" spans="1:7" x14ac:dyDescent="0.3">
      <c r="B14" t="s">
        <v>6212</v>
      </c>
      <c r="C14" s="8">
        <v>301.98500000000001</v>
      </c>
      <c r="D14" s="8">
        <v>153.76499999999999</v>
      </c>
      <c r="E14" s="8">
        <v>215.55499999999998</v>
      </c>
      <c r="F14" s="8">
        <v>213.66499999999999</v>
      </c>
      <c r="G14" s="8">
        <v>884.96999999999991</v>
      </c>
    </row>
    <row r="15" spans="1:7" x14ac:dyDescent="0.3">
      <c r="B15" t="s">
        <v>6213</v>
      </c>
      <c r="C15" s="8">
        <v>312.83499999999998</v>
      </c>
      <c r="D15" s="8">
        <v>63.249999999999993</v>
      </c>
      <c r="E15" s="8">
        <v>350.89500000000004</v>
      </c>
      <c r="F15" s="8">
        <v>96.405000000000001</v>
      </c>
      <c r="G15" s="8">
        <v>823.38499999999999</v>
      </c>
    </row>
    <row r="16" spans="1:7" x14ac:dyDescent="0.3">
      <c r="B16" t="s">
        <v>6214</v>
      </c>
      <c r="C16" s="8">
        <v>265.62</v>
      </c>
      <c r="D16" s="8">
        <v>526.51499999999987</v>
      </c>
      <c r="E16" s="8">
        <v>187.06</v>
      </c>
      <c r="F16" s="8">
        <v>210.58999999999997</v>
      </c>
      <c r="G16" s="8">
        <v>1189.7849999999999</v>
      </c>
    </row>
    <row r="17" spans="1:7" x14ac:dyDescent="0.3">
      <c r="A17" t="s">
        <v>6200</v>
      </c>
      <c r="B17" t="s">
        <v>6203</v>
      </c>
      <c r="C17" s="8">
        <v>47.25</v>
      </c>
      <c r="D17" s="8">
        <v>65.805000000000007</v>
      </c>
      <c r="E17" s="8">
        <v>274.67500000000001</v>
      </c>
      <c r="F17" s="8">
        <v>179.22</v>
      </c>
      <c r="G17" s="8">
        <v>566.95000000000005</v>
      </c>
    </row>
    <row r="18" spans="1:7" x14ac:dyDescent="0.3">
      <c r="B18" t="s">
        <v>6204</v>
      </c>
      <c r="C18" s="8">
        <v>745.44999999999993</v>
      </c>
      <c r="D18" s="8">
        <v>428.88499999999999</v>
      </c>
      <c r="E18" s="8">
        <v>194.17499999999998</v>
      </c>
      <c r="F18" s="8">
        <v>429.82999999999993</v>
      </c>
      <c r="G18" s="8">
        <v>1798.34</v>
      </c>
    </row>
    <row r="19" spans="1:7" x14ac:dyDescent="0.3">
      <c r="B19" t="s">
        <v>6205</v>
      </c>
      <c r="C19" s="8">
        <v>130.47</v>
      </c>
      <c r="D19" s="8">
        <v>271.48500000000001</v>
      </c>
      <c r="E19" s="8">
        <v>281.20499999999998</v>
      </c>
      <c r="F19" s="8">
        <v>231.63000000000002</v>
      </c>
      <c r="G19" s="8">
        <v>914.79000000000008</v>
      </c>
    </row>
    <row r="20" spans="1:7" x14ac:dyDescent="0.3">
      <c r="B20" t="s">
        <v>6206</v>
      </c>
      <c r="C20" s="8">
        <v>27</v>
      </c>
      <c r="D20" s="8">
        <v>347.26</v>
      </c>
      <c r="E20" s="8">
        <v>147.51</v>
      </c>
      <c r="F20" s="8">
        <v>240.04</v>
      </c>
      <c r="G20" s="8">
        <v>761.81</v>
      </c>
    </row>
    <row r="21" spans="1:7" x14ac:dyDescent="0.3">
      <c r="B21" t="s">
        <v>6207</v>
      </c>
      <c r="C21" s="8">
        <v>255.11499999999995</v>
      </c>
      <c r="D21" s="8">
        <v>541.73</v>
      </c>
      <c r="E21" s="8">
        <v>83.43</v>
      </c>
      <c r="F21" s="8">
        <v>59.079999999999991</v>
      </c>
      <c r="G21" s="8">
        <v>939.35500000000013</v>
      </c>
    </row>
    <row r="22" spans="1:7" x14ac:dyDescent="0.3">
      <c r="B22" t="s">
        <v>6208</v>
      </c>
      <c r="C22" s="8">
        <v>584.78999999999985</v>
      </c>
      <c r="D22" s="8">
        <v>357.42999999999995</v>
      </c>
      <c r="E22" s="8">
        <v>355.34</v>
      </c>
      <c r="F22" s="8">
        <v>140.88</v>
      </c>
      <c r="G22" s="8">
        <v>1438.4399999999996</v>
      </c>
    </row>
    <row r="23" spans="1:7" x14ac:dyDescent="0.3">
      <c r="B23" t="s">
        <v>6209</v>
      </c>
      <c r="C23" s="8">
        <v>430.62</v>
      </c>
      <c r="D23" s="8">
        <v>227.42500000000001</v>
      </c>
      <c r="E23" s="8">
        <v>236.315</v>
      </c>
      <c r="F23" s="8">
        <v>414.58499999999992</v>
      </c>
      <c r="G23" s="8">
        <v>1308.9450000000002</v>
      </c>
    </row>
    <row r="24" spans="1:7" x14ac:dyDescent="0.3">
      <c r="B24" t="s">
        <v>6210</v>
      </c>
      <c r="C24" s="8">
        <v>22.5</v>
      </c>
      <c r="D24" s="8">
        <v>77.72</v>
      </c>
      <c r="E24" s="8">
        <v>60.5</v>
      </c>
      <c r="F24" s="8">
        <v>139.67999999999998</v>
      </c>
      <c r="G24" s="8">
        <v>300.39999999999998</v>
      </c>
    </row>
    <row r="25" spans="1:7" x14ac:dyDescent="0.3">
      <c r="B25" t="s">
        <v>6211</v>
      </c>
      <c r="C25" s="8">
        <v>126.14999999999999</v>
      </c>
      <c r="D25" s="8">
        <v>195.11</v>
      </c>
      <c r="E25" s="8">
        <v>89.13</v>
      </c>
      <c r="F25" s="8">
        <v>302.65999999999997</v>
      </c>
      <c r="G25" s="8">
        <v>713.05</v>
      </c>
    </row>
    <row r="26" spans="1:7" x14ac:dyDescent="0.3">
      <c r="B26" t="s">
        <v>6212</v>
      </c>
      <c r="C26" s="8">
        <v>376.03</v>
      </c>
      <c r="D26" s="8">
        <v>523.24</v>
      </c>
      <c r="E26" s="8">
        <v>440.96499999999997</v>
      </c>
      <c r="F26" s="8">
        <v>174.46999999999997</v>
      </c>
      <c r="G26" s="8">
        <v>1514.7049999999999</v>
      </c>
    </row>
    <row r="27" spans="1:7" x14ac:dyDescent="0.3">
      <c r="B27" t="s">
        <v>6213</v>
      </c>
      <c r="C27" s="8">
        <v>515.17999999999995</v>
      </c>
      <c r="D27" s="8">
        <v>142.56</v>
      </c>
      <c r="E27" s="8">
        <v>347.03999999999996</v>
      </c>
      <c r="F27" s="8">
        <v>104.08499999999999</v>
      </c>
      <c r="G27" s="8">
        <v>1108.865</v>
      </c>
    </row>
    <row r="28" spans="1:7" x14ac:dyDescent="0.3">
      <c r="B28" t="s">
        <v>6214</v>
      </c>
      <c r="C28" s="8">
        <v>95.859999999999985</v>
      </c>
      <c r="D28" s="8">
        <v>484.76</v>
      </c>
      <c r="E28" s="8">
        <v>94.17</v>
      </c>
      <c r="F28" s="8">
        <v>77.10499999999999</v>
      </c>
      <c r="G28" s="8">
        <v>751.89499999999998</v>
      </c>
    </row>
    <row r="29" spans="1:7" x14ac:dyDescent="0.3">
      <c r="A29" t="s">
        <v>6201</v>
      </c>
      <c r="B29" t="s">
        <v>6203</v>
      </c>
      <c r="C29" s="8">
        <v>258.34500000000003</v>
      </c>
      <c r="D29" s="8">
        <v>139.625</v>
      </c>
      <c r="E29" s="8">
        <v>279.52000000000004</v>
      </c>
      <c r="F29" s="8">
        <v>160.19499999999999</v>
      </c>
      <c r="G29" s="8">
        <v>837.68499999999995</v>
      </c>
    </row>
    <row r="30" spans="1:7" x14ac:dyDescent="0.3">
      <c r="B30" t="s">
        <v>6204</v>
      </c>
      <c r="C30" s="8">
        <v>342.2</v>
      </c>
      <c r="D30" s="8">
        <v>284.24999999999994</v>
      </c>
      <c r="E30" s="8">
        <v>251.83</v>
      </c>
      <c r="F30" s="8">
        <v>80.550000000000011</v>
      </c>
      <c r="G30" s="8">
        <v>958.82999999999993</v>
      </c>
    </row>
    <row r="31" spans="1:7" x14ac:dyDescent="0.3">
      <c r="B31" t="s">
        <v>6205</v>
      </c>
      <c r="C31" s="8">
        <v>418.30499999999989</v>
      </c>
      <c r="D31" s="8">
        <v>468.125</v>
      </c>
      <c r="E31" s="8">
        <v>405.05500000000006</v>
      </c>
      <c r="F31" s="8">
        <v>253.15499999999997</v>
      </c>
      <c r="G31" s="8">
        <v>1544.6399999999999</v>
      </c>
    </row>
    <row r="32" spans="1:7" x14ac:dyDescent="0.3">
      <c r="B32" t="s">
        <v>6206</v>
      </c>
      <c r="C32" s="8">
        <v>102.32999999999998</v>
      </c>
      <c r="D32" s="8">
        <v>242.14000000000001</v>
      </c>
      <c r="E32" s="8">
        <v>554.875</v>
      </c>
      <c r="F32" s="8">
        <v>106.23999999999998</v>
      </c>
      <c r="G32" s="8">
        <v>1005.585</v>
      </c>
    </row>
    <row r="33" spans="1:7" x14ac:dyDescent="0.3">
      <c r="B33" t="s">
        <v>6207</v>
      </c>
      <c r="C33" s="8">
        <v>234.71999999999997</v>
      </c>
      <c r="D33" s="8">
        <v>133.08000000000001</v>
      </c>
      <c r="E33" s="8">
        <v>267.2</v>
      </c>
      <c r="F33" s="8">
        <v>272.68999999999994</v>
      </c>
      <c r="G33" s="8">
        <v>907.68999999999994</v>
      </c>
    </row>
    <row r="34" spans="1:7" x14ac:dyDescent="0.3">
      <c r="B34" t="s">
        <v>6208</v>
      </c>
      <c r="C34" s="8">
        <v>430.39</v>
      </c>
      <c r="D34" s="8">
        <v>136.20500000000001</v>
      </c>
      <c r="E34" s="8">
        <v>209.6</v>
      </c>
      <c r="F34" s="8">
        <v>88.334999999999994</v>
      </c>
      <c r="G34" s="8">
        <v>864.53000000000009</v>
      </c>
    </row>
    <row r="35" spans="1:7" x14ac:dyDescent="0.3">
      <c r="B35" t="s">
        <v>6209</v>
      </c>
      <c r="C35" s="8">
        <v>109.005</v>
      </c>
      <c r="D35" s="8">
        <v>393.57499999999999</v>
      </c>
      <c r="E35" s="8">
        <v>61.034999999999997</v>
      </c>
      <c r="F35" s="8">
        <v>199.48999999999998</v>
      </c>
      <c r="G35" s="8">
        <v>763.10500000000002</v>
      </c>
    </row>
    <row r="36" spans="1:7" x14ac:dyDescent="0.3">
      <c r="B36" t="s">
        <v>6210</v>
      </c>
      <c r="C36" s="8">
        <v>287.52499999999998</v>
      </c>
      <c r="D36" s="8">
        <v>288.67</v>
      </c>
      <c r="E36" s="8">
        <v>125.58</v>
      </c>
      <c r="F36" s="8">
        <v>374.13499999999999</v>
      </c>
      <c r="G36" s="8">
        <v>1075.9099999999999</v>
      </c>
    </row>
    <row r="37" spans="1:7" x14ac:dyDescent="0.3">
      <c r="B37" t="s">
        <v>6211</v>
      </c>
      <c r="C37" s="8">
        <v>840.92999999999984</v>
      </c>
      <c r="D37" s="8">
        <v>409.875</v>
      </c>
      <c r="E37" s="8">
        <v>171.32999999999998</v>
      </c>
      <c r="F37" s="8">
        <v>221.43999999999997</v>
      </c>
      <c r="G37" s="8">
        <v>1643.5749999999998</v>
      </c>
    </row>
    <row r="38" spans="1:7" x14ac:dyDescent="0.3">
      <c r="B38" t="s">
        <v>6212</v>
      </c>
      <c r="C38" s="8">
        <v>299.07</v>
      </c>
      <c r="D38" s="8">
        <v>260.32499999999999</v>
      </c>
      <c r="E38" s="8">
        <v>584.64</v>
      </c>
      <c r="F38" s="8">
        <v>256.36500000000001</v>
      </c>
      <c r="G38" s="8">
        <v>1400.3999999999999</v>
      </c>
    </row>
    <row r="39" spans="1:7" x14ac:dyDescent="0.3">
      <c r="B39" t="s">
        <v>6213</v>
      </c>
      <c r="C39" s="8">
        <v>323.32499999999999</v>
      </c>
      <c r="D39" s="8">
        <v>565.57000000000005</v>
      </c>
      <c r="E39" s="8">
        <v>537.80999999999995</v>
      </c>
      <c r="F39" s="8">
        <v>189.47499999999999</v>
      </c>
      <c r="G39" s="8">
        <v>1616.1799999999998</v>
      </c>
    </row>
    <row r="40" spans="1:7" x14ac:dyDescent="0.3">
      <c r="B40" t="s">
        <v>6214</v>
      </c>
      <c r="C40" s="8">
        <v>399.48499999999996</v>
      </c>
      <c r="D40" s="8">
        <v>148.19999999999999</v>
      </c>
      <c r="E40" s="8">
        <v>388.21999999999997</v>
      </c>
      <c r="F40" s="8">
        <v>212.07499999999999</v>
      </c>
      <c r="G40" s="8">
        <v>1147.98</v>
      </c>
    </row>
    <row r="41" spans="1:7" x14ac:dyDescent="0.3">
      <c r="A41" t="s">
        <v>6202</v>
      </c>
      <c r="B41" t="s">
        <v>6203</v>
      </c>
      <c r="C41" s="8">
        <v>112.69499999999999</v>
      </c>
      <c r="D41" s="8">
        <v>166.32</v>
      </c>
      <c r="E41" s="8">
        <v>843.71499999999992</v>
      </c>
      <c r="F41" s="8">
        <v>146.685</v>
      </c>
      <c r="G41" s="8">
        <v>1269.415</v>
      </c>
    </row>
    <row r="42" spans="1:7" x14ac:dyDescent="0.3">
      <c r="B42" t="s">
        <v>6204</v>
      </c>
      <c r="C42" s="8">
        <v>114.87999999999998</v>
      </c>
      <c r="D42" s="8">
        <v>133.815</v>
      </c>
      <c r="E42" s="8">
        <v>91.175000000000011</v>
      </c>
      <c r="F42" s="8">
        <v>53.759999999999991</v>
      </c>
      <c r="G42" s="8">
        <v>393.63</v>
      </c>
    </row>
    <row r="43" spans="1:7" x14ac:dyDescent="0.3">
      <c r="B43" t="s">
        <v>6205</v>
      </c>
      <c r="C43" s="8">
        <v>277.76</v>
      </c>
      <c r="D43" s="8">
        <v>175.41</v>
      </c>
      <c r="E43" s="8">
        <v>462.50999999999993</v>
      </c>
      <c r="F43" s="8">
        <v>399.52499999999998</v>
      </c>
      <c r="G43" s="8">
        <v>1315.2049999999999</v>
      </c>
    </row>
    <row r="44" spans="1:7" x14ac:dyDescent="0.3">
      <c r="B44" t="s">
        <v>6206</v>
      </c>
      <c r="C44" s="8">
        <v>197.89499999999998</v>
      </c>
      <c r="D44" s="8">
        <v>289.755</v>
      </c>
      <c r="E44" s="8">
        <v>88.545000000000002</v>
      </c>
      <c r="F44" s="8">
        <v>200.25499999999997</v>
      </c>
      <c r="G44" s="8">
        <v>776.44999999999993</v>
      </c>
    </row>
    <row r="45" spans="1:7" x14ac:dyDescent="0.3">
      <c r="B45" t="s">
        <v>6207</v>
      </c>
      <c r="C45" s="8">
        <v>193.11499999999998</v>
      </c>
      <c r="D45" s="8">
        <v>212.49499999999998</v>
      </c>
      <c r="E45" s="8">
        <v>292.29000000000002</v>
      </c>
      <c r="F45" s="8">
        <v>304.46999999999997</v>
      </c>
      <c r="G45" s="8">
        <v>1002.3699999999999</v>
      </c>
    </row>
    <row r="46" spans="1:7" x14ac:dyDescent="0.3">
      <c r="B46" t="s">
        <v>6208</v>
      </c>
      <c r="C46" s="8">
        <v>179.79</v>
      </c>
      <c r="D46" s="8">
        <v>426.2</v>
      </c>
      <c r="E46" s="8">
        <v>170.08999999999997</v>
      </c>
      <c r="F46" s="8">
        <v>379.31</v>
      </c>
      <c r="G46" s="8">
        <v>1155.3899999999999</v>
      </c>
    </row>
    <row r="47" spans="1:7" x14ac:dyDescent="0.3">
      <c r="B47" t="s">
        <v>6209</v>
      </c>
      <c r="C47" s="8">
        <v>247.28999999999996</v>
      </c>
      <c r="D47" s="8">
        <v>246.685</v>
      </c>
      <c r="E47" s="8">
        <v>271.05499999999995</v>
      </c>
      <c r="F47" s="8">
        <v>141.69999999999999</v>
      </c>
      <c r="G47" s="8">
        <v>906.73</v>
      </c>
    </row>
    <row r="48" spans="1:7" x14ac:dyDescent="0.3">
      <c r="B48" t="s">
        <v>6210</v>
      </c>
      <c r="C48" s="8">
        <v>116.39499999999998</v>
      </c>
      <c r="D48" s="8">
        <v>41.25</v>
      </c>
      <c r="E48" s="8">
        <v>15.54</v>
      </c>
      <c r="F48" s="8">
        <v>71.06</v>
      </c>
      <c r="G48" s="8">
        <v>244.24499999999998</v>
      </c>
    </row>
    <row r="49" spans="1:7" x14ac:dyDescent="0.3">
      <c r="A49" t="s">
        <v>6198</v>
      </c>
      <c r="C49" s="8">
        <v>11768.495000000003</v>
      </c>
      <c r="D49" s="8">
        <v>12306.440000000002</v>
      </c>
      <c r="E49" s="8">
        <v>12054.075000000003</v>
      </c>
      <c r="F49" s="8">
        <v>9005.244999999999</v>
      </c>
      <c r="G49" s="8">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6C88-8C55-4174-B97C-2FE5D266A035}">
  <dimension ref="A3:B7"/>
  <sheetViews>
    <sheetView zoomScale="86" workbookViewId="0">
      <selection activeCell="F23" sqref="F23"/>
    </sheetView>
  </sheetViews>
  <sheetFormatPr defaultRowHeight="14.4" x14ac:dyDescent="0.3"/>
  <cols>
    <col min="1" max="1" width="14.33203125" bestFit="1" customWidth="1"/>
    <col min="2" max="2" width="12" bestFit="1" customWidth="1"/>
    <col min="3" max="5" width="19.6640625" bestFit="1" customWidth="1"/>
    <col min="6" max="8" width="11.33203125" bestFit="1" customWidth="1"/>
  </cols>
  <sheetData>
    <row r="3" spans="1:2" x14ac:dyDescent="0.3">
      <c r="A3" s="7" t="s">
        <v>7</v>
      </c>
      <c r="B3" t="s">
        <v>6221</v>
      </c>
    </row>
    <row r="4" spans="1:2" x14ac:dyDescent="0.3">
      <c r="A4" t="s">
        <v>28</v>
      </c>
      <c r="B4" s="9">
        <v>2798.5050000000001</v>
      </c>
    </row>
    <row r="5" spans="1:2" x14ac:dyDescent="0.3">
      <c r="A5" t="s">
        <v>318</v>
      </c>
      <c r="B5" s="9">
        <v>6696.8649999999989</v>
      </c>
    </row>
    <row r="6" spans="1:2" x14ac:dyDescent="0.3">
      <c r="A6" t="s">
        <v>19</v>
      </c>
      <c r="B6" s="9">
        <v>35638.88499999998</v>
      </c>
    </row>
    <row r="7" spans="1:2" x14ac:dyDescent="0.3">
      <c r="A7" t="s">
        <v>6198</v>
      </c>
      <c r="B7" s="9">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6A44B-9C7D-4230-A856-278DC71F9E81}">
  <dimension ref="A3:B9"/>
  <sheetViews>
    <sheetView zoomScale="86" workbookViewId="0">
      <selection activeCell="J21" sqref="J21"/>
    </sheetView>
  </sheetViews>
  <sheetFormatPr defaultRowHeight="14.4" x14ac:dyDescent="0.3"/>
  <cols>
    <col min="1" max="1" width="17.6640625" bestFit="1" customWidth="1"/>
    <col min="2" max="2" width="12" bestFit="1" customWidth="1"/>
    <col min="3" max="5" width="19.6640625" bestFit="1" customWidth="1"/>
    <col min="6" max="8" width="11.33203125" bestFit="1" customWidth="1"/>
  </cols>
  <sheetData>
    <row r="3" spans="1:2" x14ac:dyDescent="0.3">
      <c r="A3" s="7" t="s">
        <v>4</v>
      </c>
      <c r="B3" t="s">
        <v>6221</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row r="9" spans="1:2" x14ac:dyDescent="0.3">
      <c r="A9" t="s">
        <v>6198</v>
      </c>
      <c r="B9" s="9">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defaultRowHeight="14.4" x14ac:dyDescent="0.3"/>
  <cols>
    <col min="1" max="1" width="16.5546875" bestFit="1" customWidth="1"/>
    <col min="2" max="2" width="14.44140625" bestFit="1" customWidth="1"/>
    <col min="3" max="3" width="17.44140625" bestFit="1" customWidth="1"/>
    <col min="4" max="4" width="11.33203125" customWidth="1"/>
    <col min="5" max="5" width="9.77734375" customWidth="1"/>
    <col min="6" max="6" width="17.109375" customWidth="1"/>
    <col min="7" max="7" width="25.33203125" customWidth="1"/>
    <col min="8" max="8" width="14" customWidth="1"/>
    <col min="9" max="9" width="12.6640625" customWidth="1"/>
    <col min="10" max="10" width="11.6640625" customWidth="1"/>
    <col min="11" max="11" width="5.88671875" bestFit="1" customWidth="1"/>
    <col min="12" max="12" width="11.77734375" customWidth="1"/>
    <col min="13" max="13" width="10" customWidth="1"/>
    <col min="14" max="14" width="18.109375" customWidth="1"/>
    <col min="15" max="15" width="17.21875" customWidth="1"/>
    <col min="16" max="16" width="11.44140625" customWidth="1"/>
  </cols>
  <sheetData>
    <row r="1" spans="1:16" x14ac:dyDescent="0.3">
      <c r="A1" s="2" t="s">
        <v>0</v>
      </c>
      <c r="B1" s="2" t="s">
        <v>1</v>
      </c>
      <c r="C1" s="2" t="s">
        <v>3</v>
      </c>
      <c r="D1" s="2" t="s">
        <v>11</v>
      </c>
      <c r="E1" s="2" t="s">
        <v>14</v>
      </c>
      <c r="F1" s="2" t="s">
        <v>4</v>
      </c>
      <c r="G1" s="2" t="s">
        <v>2</v>
      </c>
      <c r="H1" s="2" t="s">
        <v>7</v>
      </c>
      <c r="I1" s="2" t="s">
        <v>9</v>
      </c>
      <c r="J1" s="2" t="s">
        <v>10</v>
      </c>
      <c r="K1" s="2" t="s">
        <v>12</v>
      </c>
      <c r="L1" s="6" t="s">
        <v>13</v>
      </c>
      <c r="M1" s="2" t="s">
        <v>15</v>
      </c>
      <c r="N1" s="2" t="s">
        <v>6196</v>
      </c>
      <c r="O1" s="2" t="s">
        <v>6197</v>
      </c>
      <c r="P1" s="2" t="s">
        <v>6222</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IF(I2="Rob","Robusta",IF(I2="Exc","Excelsa",IF(I2="Ara","Arabica",IF(I2="Lib","Librica",""))))</f>
        <v>Robusta</v>
      </c>
      <c r="O2" t="str">
        <f>IF(J2="M","Medium",IF(J2="L","Light",IF(J2="D","Dark","")))</f>
        <v>Medium</v>
      </c>
      <c r="P2" t="str">
        <f>_xlfn.XLOOKUP(Table1[[#This Row],[Customer ID]],customers!$A$2:$A$1001,customers!$I$2:$I$1001,,0)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L3*E3</f>
        <v>41.25</v>
      </c>
      <c r="N3" t="str">
        <f t="shared" ref="N3:N66" si="0">IF(I3="Rob","Robusta",IF(I3="Exc","Excelsa",IF(I3="Ara","Arabica",IF(I3="Lib","Librica",""))))</f>
        <v>Excelsa</v>
      </c>
      <c r="O3" t="str">
        <f t="shared" ref="O3:O66" si="1">IF(J3="M","Medium",IF(J3="L","Light",IF(J3="D","Dark","")))</f>
        <v>Medium</v>
      </c>
      <c r="P3" t="str">
        <f>_xlfn.XLOOKUP(Table1[[#This Row],[Customer ID]],customers!$A$2:$A$1001,customers!$I$2:$I$1001,,0)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ref="M4:M66" si="2">L4*E4</f>
        <v>12.95</v>
      </c>
      <c r="N4" t="str">
        <f t="shared" si="0"/>
        <v>Arabica</v>
      </c>
      <c r="O4" t="str">
        <f t="shared" si="1"/>
        <v>Light</v>
      </c>
      <c r="P4" t="str">
        <f>_xlfn.XLOOKUP(Table1[[#This Row],[Customer ID]],customers!$A$2:$A$1001,customers!$I$2:$I$1001,,0)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2"/>
        <v>27.5</v>
      </c>
      <c r="N5" t="str">
        <f t="shared" si="0"/>
        <v>Excelsa</v>
      </c>
      <c r="O5" t="str">
        <f t="shared" si="1"/>
        <v>Medium</v>
      </c>
      <c r="P5" t="str">
        <f>_xlfn.XLOOKUP(Table1[[#This Row],[Customer ID]],customers!$A$2:$A$1001,customers!$I$2:$I$1001,,0)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2"/>
        <v>54.969999999999992</v>
      </c>
      <c r="N6" t="str">
        <f t="shared" si="0"/>
        <v>Robusta</v>
      </c>
      <c r="O6" t="str">
        <f t="shared" si="1"/>
        <v>Light</v>
      </c>
      <c r="P6" t="str">
        <f>_xlfn.XLOOKUP(Table1[[#This Row],[Customer ID]],customers!$A$2:$A$1001,customers!$I$2:$I$1001,,0)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2"/>
        <v>38.849999999999994</v>
      </c>
      <c r="N7" t="str">
        <f t="shared" si="0"/>
        <v>Librica</v>
      </c>
      <c r="O7" t="str">
        <f t="shared" si="1"/>
        <v>Dark</v>
      </c>
      <c r="P7" t="str">
        <f>_xlfn.XLOOKUP(Table1[[#This Row],[Customer ID]],customers!$A$2:$A$1001,customers!$I$2:$I$1001,,0)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2"/>
        <v>21.87</v>
      </c>
      <c r="N8" t="str">
        <f t="shared" si="0"/>
        <v>Excelsa</v>
      </c>
      <c r="O8" t="str">
        <f t="shared" si="1"/>
        <v>Dark</v>
      </c>
      <c r="P8" t="str">
        <f>_xlfn.XLOOKUP(Table1[[#This Row],[Customer ID]],customers!$A$2:$A$1001,customers!$I$2:$I$1001,,0)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2"/>
        <v>4.7549999999999999</v>
      </c>
      <c r="N9" t="str">
        <f t="shared" si="0"/>
        <v>Librica</v>
      </c>
      <c r="O9" t="str">
        <f t="shared" si="1"/>
        <v>Light</v>
      </c>
      <c r="P9" t="str">
        <f>_xlfn.XLOOKUP(Table1[[#This Row],[Customer ID]],customers!$A$2:$A$1001,customers!$I$2:$I$1001,,0)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2"/>
        <v>17.91</v>
      </c>
      <c r="N10" t="str">
        <f t="shared" si="0"/>
        <v>Robusta</v>
      </c>
      <c r="O10" t="str">
        <f t="shared" si="1"/>
        <v>Medium</v>
      </c>
      <c r="P10" t="str">
        <f>_xlfn.XLOOKUP(Table1[[#This Row],[Customer ID]],customers!$A$2:$A$1001,customers!$I$2:$I$1001,,0)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2"/>
        <v>5.97</v>
      </c>
      <c r="N11" t="str">
        <f t="shared" si="0"/>
        <v>Robusta</v>
      </c>
      <c r="O11" t="str">
        <f t="shared" si="1"/>
        <v>Medium</v>
      </c>
      <c r="P11" t="str">
        <f>_xlfn.XLOOKUP(Table1[[#This Row],[Customer ID]],customers!$A$2:$A$1001,customers!$I$2:$I$1001,,0)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2"/>
        <v>39.799999999999997</v>
      </c>
      <c r="N12" t="str">
        <f t="shared" si="0"/>
        <v>Arabica</v>
      </c>
      <c r="O12" t="str">
        <f t="shared" si="1"/>
        <v>Dark</v>
      </c>
      <c r="P12" t="str">
        <f>_xlfn.XLOOKUP(Table1[[#This Row],[Customer ID]],customers!$A$2:$A$1001,customers!$I$2:$I$1001,,0)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2"/>
        <v>170.77499999999998</v>
      </c>
      <c r="N13" t="str">
        <f t="shared" si="0"/>
        <v>Excelsa</v>
      </c>
      <c r="O13" t="str">
        <f t="shared" si="1"/>
        <v>Light</v>
      </c>
      <c r="P13" t="str">
        <f>_xlfn.XLOOKUP(Table1[[#This Row],[Customer ID]],customers!$A$2:$A$1001,customers!$I$2:$I$1001,,0)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2"/>
        <v>49.75</v>
      </c>
      <c r="N14" t="str">
        <f t="shared" si="0"/>
        <v>Robusta</v>
      </c>
      <c r="O14" t="str">
        <f t="shared" si="1"/>
        <v>Medium</v>
      </c>
      <c r="P14" t="str">
        <f>_xlfn.XLOOKUP(Table1[[#This Row],[Customer ID]],customers!$A$2:$A$1001,customers!$I$2:$I$1001,,0)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2"/>
        <v>41.169999999999995</v>
      </c>
      <c r="N15" t="str">
        <f t="shared" si="0"/>
        <v>Robusta</v>
      </c>
      <c r="O15" t="str">
        <f t="shared" si="1"/>
        <v>Dark</v>
      </c>
      <c r="P15" t="str">
        <f>_xlfn.XLOOKUP(Table1[[#This Row],[Customer ID]],customers!$A$2:$A$1001,customers!$I$2:$I$1001,,0)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2"/>
        <v>11.654999999999999</v>
      </c>
      <c r="N16" t="str">
        <f t="shared" si="0"/>
        <v>Librica</v>
      </c>
      <c r="O16" t="str">
        <f t="shared" si="1"/>
        <v>Dark</v>
      </c>
      <c r="P16" t="str">
        <f>_xlfn.XLOOKUP(Table1[[#This Row],[Customer ID]],customers!$A$2:$A$1001,customers!$I$2:$I$1001,,0)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2"/>
        <v>114.42499999999998</v>
      </c>
      <c r="N17" t="str">
        <f t="shared" si="0"/>
        <v>Robusta</v>
      </c>
      <c r="O17" t="str">
        <f t="shared" si="1"/>
        <v>Medium</v>
      </c>
      <c r="P17" t="str">
        <f>_xlfn.XLOOKUP(Table1[[#This Row],[Customer ID]],customers!$A$2:$A$1001,customers!$I$2:$I$1001,,0)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2"/>
        <v>20.25</v>
      </c>
      <c r="N18" t="str">
        <f t="shared" si="0"/>
        <v>Arabica</v>
      </c>
      <c r="O18" t="str">
        <f t="shared" si="1"/>
        <v>Medium</v>
      </c>
      <c r="P18" t="str">
        <f>_xlfn.XLOOKUP(Table1[[#This Row],[Customer ID]],customers!$A$2:$A$1001,customers!$I$2:$I$1001,,0)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2"/>
        <v>77.699999999999989</v>
      </c>
      <c r="N19" t="str">
        <f t="shared" si="0"/>
        <v>Arabica</v>
      </c>
      <c r="O19" t="str">
        <f t="shared" si="1"/>
        <v>Light</v>
      </c>
      <c r="P19" t="str">
        <f>_xlfn.XLOOKUP(Table1[[#This Row],[Customer ID]],customers!$A$2:$A$1001,customers!$I$2:$I$1001,,0)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2"/>
        <v>82.339999999999989</v>
      </c>
      <c r="N20" t="str">
        <f t="shared" si="0"/>
        <v>Robusta</v>
      </c>
      <c r="O20" t="str">
        <f t="shared" si="1"/>
        <v>Dark</v>
      </c>
      <c r="P20" t="str">
        <f>_xlfn.XLOOKUP(Table1[[#This Row],[Customer ID]],customers!$A$2:$A$1001,customers!$I$2:$I$1001,,0)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2"/>
        <v>16.875</v>
      </c>
      <c r="N21" t="str">
        <f t="shared" si="0"/>
        <v>Arabica</v>
      </c>
      <c r="O21" t="str">
        <f t="shared" si="1"/>
        <v>Medium</v>
      </c>
      <c r="P21" t="str">
        <f>_xlfn.XLOOKUP(Table1[[#This Row],[Customer ID]],customers!$A$2:$A$1001,customers!$I$2:$I$1001,,0)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2"/>
        <v>14.58</v>
      </c>
      <c r="N22" t="str">
        <f t="shared" si="0"/>
        <v>Excelsa</v>
      </c>
      <c r="O22" t="str">
        <f t="shared" si="1"/>
        <v>Dark</v>
      </c>
      <c r="P22" t="str">
        <f>_xlfn.XLOOKUP(Table1[[#This Row],[Customer ID]],customers!$A$2:$A$1001,customers!$I$2:$I$1001,,0)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2"/>
        <v>17.91</v>
      </c>
      <c r="N23" t="str">
        <f t="shared" si="0"/>
        <v>Arabica</v>
      </c>
      <c r="O23" t="str">
        <f t="shared" si="1"/>
        <v>Dark</v>
      </c>
      <c r="P23" t="str">
        <f>_xlfn.XLOOKUP(Table1[[#This Row],[Customer ID]],customers!$A$2:$A$1001,customers!$I$2:$I$1001,,0)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2"/>
        <v>91.539999999999992</v>
      </c>
      <c r="N24" t="str">
        <f t="shared" si="0"/>
        <v>Robusta</v>
      </c>
      <c r="O24" t="str">
        <f t="shared" si="1"/>
        <v>Medium</v>
      </c>
      <c r="P24" t="str">
        <f>_xlfn.XLOOKUP(Table1[[#This Row],[Customer ID]],customers!$A$2:$A$1001,customers!$I$2:$I$1001,,0)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2"/>
        <v>11.94</v>
      </c>
      <c r="N25" t="str">
        <f t="shared" si="0"/>
        <v>Arabica</v>
      </c>
      <c r="O25" t="str">
        <f t="shared" si="1"/>
        <v>Dark</v>
      </c>
      <c r="P25" t="str">
        <f>_xlfn.XLOOKUP(Table1[[#This Row],[Customer ID]],customers!$A$2:$A$1001,customers!$I$2:$I$1001,,0)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2"/>
        <v>11.25</v>
      </c>
      <c r="N26" t="str">
        <f t="shared" si="0"/>
        <v>Arabica</v>
      </c>
      <c r="O26" t="str">
        <f t="shared" si="1"/>
        <v>Medium</v>
      </c>
      <c r="P26" t="str">
        <f>_xlfn.XLOOKUP(Table1[[#This Row],[Customer ID]],customers!$A$2:$A$1001,customers!$I$2:$I$1001,,0)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2"/>
        <v>12.375</v>
      </c>
      <c r="N27" t="str">
        <f t="shared" si="0"/>
        <v>Excelsa</v>
      </c>
      <c r="O27" t="str">
        <f t="shared" si="1"/>
        <v>Medium</v>
      </c>
      <c r="P27" t="str">
        <f>_xlfn.XLOOKUP(Table1[[#This Row],[Customer ID]],customers!$A$2:$A$1001,customers!$I$2:$I$1001,,0)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2"/>
        <v>27</v>
      </c>
      <c r="N28" t="str">
        <f t="shared" si="0"/>
        <v>Arabica</v>
      </c>
      <c r="O28" t="str">
        <f t="shared" si="1"/>
        <v>Medium</v>
      </c>
      <c r="P28" t="str">
        <f>_xlfn.XLOOKUP(Table1[[#This Row],[Customer ID]],customers!$A$2:$A$1001,customers!$I$2:$I$1001,,0)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2"/>
        <v>16.875</v>
      </c>
      <c r="N29" t="str">
        <f t="shared" si="0"/>
        <v>Arabica</v>
      </c>
      <c r="O29" t="str">
        <f t="shared" si="1"/>
        <v>Medium</v>
      </c>
      <c r="P29" t="str">
        <f>_xlfn.XLOOKUP(Table1[[#This Row],[Customer ID]],customers!$A$2:$A$1001,customers!$I$2:$I$1001,,0)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2"/>
        <v>17.91</v>
      </c>
      <c r="N30" t="str">
        <f t="shared" si="0"/>
        <v>Arabica</v>
      </c>
      <c r="O30" t="str">
        <f t="shared" si="1"/>
        <v>Dark</v>
      </c>
      <c r="P30" t="str">
        <f>_xlfn.XLOOKUP(Table1[[#This Row],[Customer ID]],customers!$A$2:$A$1001,customers!$I$2:$I$1001,,0)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2"/>
        <v>39.799999999999997</v>
      </c>
      <c r="N31" t="str">
        <f t="shared" si="0"/>
        <v>Arabica</v>
      </c>
      <c r="O31" t="str">
        <f t="shared" si="1"/>
        <v>Dark</v>
      </c>
      <c r="P31" t="str">
        <f>_xlfn.XLOOKUP(Table1[[#This Row],[Customer ID]],customers!$A$2:$A$1001,customers!$I$2:$I$1001,,0)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2"/>
        <v>21.825000000000003</v>
      </c>
      <c r="N32" t="str">
        <f t="shared" si="0"/>
        <v>Librica</v>
      </c>
      <c r="O32" t="str">
        <f t="shared" si="1"/>
        <v>Medium</v>
      </c>
      <c r="P32" t="str">
        <f>_xlfn.XLOOKUP(Table1[[#This Row],[Customer ID]],customers!$A$2:$A$1001,customers!$I$2:$I$1001,,0)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2"/>
        <v>35.82</v>
      </c>
      <c r="N33" t="str">
        <f t="shared" si="0"/>
        <v>Arabica</v>
      </c>
      <c r="O33" t="str">
        <f t="shared" si="1"/>
        <v>Dark</v>
      </c>
      <c r="P33" t="str">
        <f>_xlfn.XLOOKUP(Table1[[#This Row],[Customer ID]],customers!$A$2:$A$1001,customers!$I$2:$I$1001,,0)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2"/>
        <v>52.38</v>
      </c>
      <c r="N34" t="str">
        <f t="shared" si="0"/>
        <v>Librica</v>
      </c>
      <c r="O34" t="str">
        <f t="shared" si="1"/>
        <v>Medium</v>
      </c>
      <c r="P34" t="str">
        <f>_xlfn.XLOOKUP(Table1[[#This Row],[Customer ID]],customers!$A$2:$A$1001,customers!$I$2:$I$1001,,0)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2"/>
        <v>23.774999999999999</v>
      </c>
      <c r="N35" t="str">
        <f t="shared" si="0"/>
        <v>Librica</v>
      </c>
      <c r="O35" t="str">
        <f t="shared" si="1"/>
        <v>Light</v>
      </c>
      <c r="P35" t="str">
        <f>_xlfn.XLOOKUP(Table1[[#This Row],[Customer ID]],customers!$A$2:$A$1001,customers!$I$2:$I$1001,,0)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2"/>
        <v>57.06</v>
      </c>
      <c r="N36" t="str">
        <f t="shared" si="0"/>
        <v>Librica</v>
      </c>
      <c r="O36" t="str">
        <f t="shared" si="1"/>
        <v>Light</v>
      </c>
      <c r="P36" t="str">
        <f>_xlfn.XLOOKUP(Table1[[#This Row],[Customer ID]],customers!$A$2:$A$1001,customers!$I$2:$I$1001,,0)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2"/>
        <v>35.82</v>
      </c>
      <c r="N37" t="str">
        <f t="shared" si="0"/>
        <v>Arabica</v>
      </c>
      <c r="O37" t="str">
        <f t="shared" si="1"/>
        <v>Dark</v>
      </c>
      <c r="P37" t="str">
        <f>_xlfn.XLOOKUP(Table1[[#This Row],[Customer ID]],customers!$A$2:$A$1001,customers!$I$2:$I$1001,,0)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2"/>
        <v>8.73</v>
      </c>
      <c r="N38" t="str">
        <f t="shared" si="0"/>
        <v>Librica</v>
      </c>
      <c r="O38" t="str">
        <f t="shared" si="1"/>
        <v>Medium</v>
      </c>
      <c r="P38" t="str">
        <f>_xlfn.XLOOKUP(Table1[[#This Row],[Customer ID]],customers!$A$2:$A$1001,customers!$I$2:$I$1001,,0)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2"/>
        <v>28.53</v>
      </c>
      <c r="N39" t="str">
        <f t="shared" si="0"/>
        <v>Librica</v>
      </c>
      <c r="O39" t="str">
        <f t="shared" si="1"/>
        <v>Light</v>
      </c>
      <c r="P39" t="str">
        <f>_xlfn.XLOOKUP(Table1[[#This Row],[Customer ID]],customers!$A$2:$A$1001,customers!$I$2:$I$1001,,0)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2"/>
        <v>114.42499999999998</v>
      </c>
      <c r="N40" t="str">
        <f t="shared" si="0"/>
        <v>Robusta</v>
      </c>
      <c r="O40" t="str">
        <f t="shared" si="1"/>
        <v>Medium</v>
      </c>
      <c r="P40" t="str">
        <f>_xlfn.XLOOKUP(Table1[[#This Row],[Customer ID]],customers!$A$2:$A$1001,customers!$I$2:$I$1001,,0)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2"/>
        <v>59.699999999999996</v>
      </c>
      <c r="N41" t="str">
        <f t="shared" si="0"/>
        <v>Robusta</v>
      </c>
      <c r="O41" t="str">
        <f t="shared" si="1"/>
        <v>Medium</v>
      </c>
      <c r="P41" t="str">
        <f>_xlfn.XLOOKUP(Table1[[#This Row],[Customer ID]],customers!$A$2:$A$1001,customers!$I$2:$I$1001,,0)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2"/>
        <v>43.650000000000006</v>
      </c>
      <c r="N42" t="str">
        <f t="shared" si="0"/>
        <v>Librica</v>
      </c>
      <c r="O42" t="str">
        <f t="shared" si="1"/>
        <v>Medium</v>
      </c>
      <c r="P42" t="str">
        <f>_xlfn.XLOOKUP(Table1[[#This Row],[Customer ID]],customers!$A$2:$A$1001,customers!$I$2:$I$1001,,0)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2"/>
        <v>7.29</v>
      </c>
      <c r="N43" t="str">
        <f t="shared" si="0"/>
        <v>Excelsa</v>
      </c>
      <c r="O43" t="str">
        <f t="shared" si="1"/>
        <v>Dark</v>
      </c>
      <c r="P43" t="str">
        <f>_xlfn.XLOOKUP(Table1[[#This Row],[Customer ID]],customers!$A$2:$A$1001,customers!$I$2:$I$1001,,0)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2"/>
        <v>8.0549999999999997</v>
      </c>
      <c r="N44" t="str">
        <f t="shared" si="0"/>
        <v>Robusta</v>
      </c>
      <c r="O44" t="str">
        <f t="shared" si="1"/>
        <v>Dark</v>
      </c>
      <c r="P44" t="str">
        <f>_xlfn.XLOOKUP(Table1[[#This Row],[Customer ID]],customers!$A$2:$A$1001,customers!$I$2:$I$1001,,0)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2"/>
        <v>72.91</v>
      </c>
      <c r="N45" t="str">
        <f t="shared" si="0"/>
        <v>Librica</v>
      </c>
      <c r="O45" t="str">
        <f t="shared" si="1"/>
        <v>Light</v>
      </c>
      <c r="P45" t="str">
        <f>_xlfn.XLOOKUP(Table1[[#This Row],[Customer ID]],customers!$A$2:$A$1001,customers!$I$2:$I$1001,,0)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2"/>
        <v>16.5</v>
      </c>
      <c r="N46" t="str">
        <f t="shared" si="0"/>
        <v>Excelsa</v>
      </c>
      <c r="O46" t="str">
        <f t="shared" si="1"/>
        <v>Medium</v>
      </c>
      <c r="P46" t="str">
        <f>_xlfn.XLOOKUP(Table1[[#This Row],[Customer ID]],customers!$A$2:$A$1001,customers!$I$2:$I$1001,,0)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2"/>
        <v>178.70999999999998</v>
      </c>
      <c r="N47" t="str">
        <f t="shared" si="0"/>
        <v>Librica</v>
      </c>
      <c r="O47" t="str">
        <f t="shared" si="1"/>
        <v>Dark</v>
      </c>
      <c r="P47" t="str">
        <f>_xlfn.XLOOKUP(Table1[[#This Row],[Customer ID]],customers!$A$2:$A$1001,customers!$I$2:$I$1001,,0)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2"/>
        <v>63.249999999999993</v>
      </c>
      <c r="N48" t="str">
        <f t="shared" si="0"/>
        <v>Excelsa</v>
      </c>
      <c r="O48" t="str">
        <f t="shared" si="1"/>
        <v>Medium</v>
      </c>
      <c r="P48" t="str">
        <f>_xlfn.XLOOKUP(Table1[[#This Row],[Customer ID]],customers!$A$2:$A$1001,customers!$I$2:$I$1001,,0)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2"/>
        <v>7.77</v>
      </c>
      <c r="N49" t="str">
        <f t="shared" si="0"/>
        <v>Arabica</v>
      </c>
      <c r="O49" t="str">
        <f t="shared" si="1"/>
        <v>Light</v>
      </c>
      <c r="P49" t="str">
        <f>_xlfn.XLOOKUP(Table1[[#This Row],[Customer ID]],customers!$A$2:$A$1001,customers!$I$2:$I$1001,,0)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2"/>
        <v>91.539999999999992</v>
      </c>
      <c r="N50" t="str">
        <f t="shared" si="0"/>
        <v>Arabica</v>
      </c>
      <c r="O50" t="str">
        <f t="shared" si="1"/>
        <v>Dark</v>
      </c>
      <c r="P50" t="str">
        <f>_xlfn.XLOOKUP(Table1[[#This Row],[Customer ID]],customers!$A$2:$A$1001,customers!$I$2:$I$1001,,0)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2"/>
        <v>38.849999999999994</v>
      </c>
      <c r="N51" t="str">
        <f t="shared" si="0"/>
        <v>Arabica</v>
      </c>
      <c r="O51" t="str">
        <f t="shared" si="1"/>
        <v>Light</v>
      </c>
      <c r="P51" t="str">
        <f>_xlfn.XLOOKUP(Table1[[#This Row],[Customer ID]],customers!$A$2:$A$1001,customers!$I$2:$I$1001,,0)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2"/>
        <v>15.54</v>
      </c>
      <c r="N52" t="str">
        <f t="shared" si="0"/>
        <v>Librica</v>
      </c>
      <c r="O52" t="str">
        <f t="shared" si="1"/>
        <v>Dark</v>
      </c>
      <c r="P52" t="str">
        <f>_xlfn.XLOOKUP(Table1[[#This Row],[Customer ID]],customers!$A$2:$A$1001,customers!$I$2:$I$1001,,0)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2"/>
        <v>145.82</v>
      </c>
      <c r="N53" t="str">
        <f t="shared" si="0"/>
        <v>Librica</v>
      </c>
      <c r="O53" t="str">
        <f t="shared" si="1"/>
        <v>Light</v>
      </c>
      <c r="P53" t="str">
        <f>_xlfn.XLOOKUP(Table1[[#This Row],[Customer ID]],customers!$A$2:$A$1001,customers!$I$2:$I$1001,,0)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2"/>
        <v>29.849999999999998</v>
      </c>
      <c r="N54" t="str">
        <f t="shared" si="0"/>
        <v>Robusta</v>
      </c>
      <c r="O54" t="str">
        <f t="shared" si="1"/>
        <v>Medium</v>
      </c>
      <c r="P54" t="str">
        <f>_xlfn.XLOOKUP(Table1[[#This Row],[Customer ID]],customers!$A$2:$A$1001,customers!$I$2:$I$1001,,0)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2"/>
        <v>72.91</v>
      </c>
      <c r="N55" t="str">
        <f t="shared" si="0"/>
        <v>Librica</v>
      </c>
      <c r="O55" t="str">
        <f t="shared" si="1"/>
        <v>Light</v>
      </c>
      <c r="P55" t="str">
        <f>_xlfn.XLOOKUP(Table1[[#This Row],[Customer ID]],customers!$A$2:$A$1001,customers!$I$2:$I$1001,,0)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2"/>
        <v>72.75</v>
      </c>
      <c r="N56" t="str">
        <f t="shared" si="0"/>
        <v>Librica</v>
      </c>
      <c r="O56" t="str">
        <f t="shared" si="1"/>
        <v>Medium</v>
      </c>
      <c r="P56" t="str">
        <f>_xlfn.XLOOKUP(Table1[[#This Row],[Customer ID]],customers!$A$2:$A$1001,customers!$I$2:$I$1001,,0)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2"/>
        <v>47.55</v>
      </c>
      <c r="N57" t="str">
        <f t="shared" si="0"/>
        <v>Librica</v>
      </c>
      <c r="O57" t="str">
        <f t="shared" si="1"/>
        <v>Light</v>
      </c>
      <c r="P57" t="str">
        <f>_xlfn.XLOOKUP(Table1[[#This Row],[Customer ID]],customers!$A$2:$A$1001,customers!$I$2:$I$1001,,0)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2"/>
        <v>10.935</v>
      </c>
      <c r="N58" t="str">
        <f t="shared" si="0"/>
        <v>Excelsa</v>
      </c>
      <c r="O58" t="str">
        <f t="shared" si="1"/>
        <v>Dark</v>
      </c>
      <c r="P58" t="str">
        <f>_xlfn.XLOOKUP(Table1[[#This Row],[Customer ID]],customers!$A$2:$A$1001,customers!$I$2:$I$1001,,0)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2"/>
        <v>59.4</v>
      </c>
      <c r="N59" t="str">
        <f t="shared" si="0"/>
        <v>Excelsa</v>
      </c>
      <c r="O59" t="str">
        <f t="shared" si="1"/>
        <v>Light</v>
      </c>
      <c r="P59" t="str">
        <f>_xlfn.XLOOKUP(Table1[[#This Row],[Customer ID]],customers!$A$2:$A$1001,customers!$I$2:$I$1001,,0)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2"/>
        <v>89.35499999999999</v>
      </c>
      <c r="N60" t="str">
        <f t="shared" si="0"/>
        <v>Librica</v>
      </c>
      <c r="O60" t="str">
        <f t="shared" si="1"/>
        <v>Dark</v>
      </c>
      <c r="P60" t="str">
        <f>_xlfn.XLOOKUP(Table1[[#This Row],[Customer ID]],customers!$A$2:$A$1001,customers!$I$2:$I$1001,,0)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2"/>
        <v>26.19</v>
      </c>
      <c r="N61" t="str">
        <f t="shared" si="0"/>
        <v>Librica</v>
      </c>
      <c r="O61" t="str">
        <f t="shared" si="1"/>
        <v>Medium</v>
      </c>
      <c r="P61" t="str">
        <f>_xlfn.XLOOKUP(Table1[[#This Row],[Customer ID]],customers!$A$2:$A$1001,customers!$I$2:$I$1001,,0)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2"/>
        <v>114.42499999999998</v>
      </c>
      <c r="N62" t="str">
        <f t="shared" si="0"/>
        <v>Arabica</v>
      </c>
      <c r="O62" t="str">
        <f t="shared" si="1"/>
        <v>Dark</v>
      </c>
      <c r="P62" t="str">
        <f>_xlfn.XLOOKUP(Table1[[#This Row],[Customer ID]],customers!$A$2:$A$1001,customers!$I$2:$I$1001,,0)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2"/>
        <v>26.849999999999994</v>
      </c>
      <c r="N63" t="str">
        <f t="shared" si="0"/>
        <v>Robusta</v>
      </c>
      <c r="O63" t="str">
        <f t="shared" si="1"/>
        <v>Dark</v>
      </c>
      <c r="P63" t="str">
        <f>_xlfn.XLOOKUP(Table1[[#This Row],[Customer ID]],customers!$A$2:$A$1001,customers!$I$2:$I$1001,,0)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2"/>
        <v>23.774999999999999</v>
      </c>
      <c r="N64" t="str">
        <f t="shared" si="0"/>
        <v>Librica</v>
      </c>
      <c r="O64" t="str">
        <f t="shared" si="1"/>
        <v>Light</v>
      </c>
      <c r="P64" t="str">
        <f>_xlfn.XLOOKUP(Table1[[#This Row],[Customer ID]],customers!$A$2:$A$1001,customers!$I$2:$I$1001,,0)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2"/>
        <v>6.75</v>
      </c>
      <c r="N65" t="str">
        <f t="shared" si="0"/>
        <v>Arabica</v>
      </c>
      <c r="O65" t="str">
        <f t="shared" si="1"/>
        <v>Medium</v>
      </c>
      <c r="P65" t="str">
        <f>_xlfn.XLOOKUP(Table1[[#This Row],[Customer ID]],customers!$A$2:$A$1001,customers!$I$2:$I$1001,,0)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2"/>
        <v>35.82</v>
      </c>
      <c r="N66" t="str">
        <f t="shared" si="0"/>
        <v>Robusta</v>
      </c>
      <c r="O66" t="str">
        <f t="shared" si="1"/>
        <v>Medium</v>
      </c>
      <c r="P66" t="str">
        <f>_xlfn.XLOOKUP(Table1[[#This Row],[Customer ID]],customers!$A$2:$A$1001,customers!$I$2:$I$1001,,0)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IF(I67="Rob","Robusta",IF(I67="Exc","Excelsa",IF(I67="Ara","Arabica",IF(I67="Lib","Librica",""))))</f>
        <v>Robusta</v>
      </c>
      <c r="O67" t="str">
        <f t="shared" ref="O67:O130" si="5">IF(J67="M","Medium",IF(J67="L","Light",IF(J67="D","Dark","")))</f>
        <v>Dark</v>
      </c>
      <c r="P67" t="str">
        <f>_xlfn.XLOOKUP(Table1[[#This Row],[Customer ID]],customers!$A$2:$A$1001,customers!$I$2:$I$1001,,0)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ID]],customers!$A$2:$A$1001,customers!$I$2:$I$1001,,0)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Librica</v>
      </c>
      <c r="O69" t="str">
        <f t="shared" si="5"/>
        <v>Light</v>
      </c>
      <c r="P69" t="str">
        <f>_xlfn.XLOOKUP(Table1[[#This Row],[Customer ID]],customers!$A$2:$A$1001,customers!$I$2:$I$1001,,0)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ID]],customers!$A$2:$A$1001,customers!$I$2:$I$1001,,0)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ID]],customers!$A$2:$A$1001,customers!$I$2:$I$1001,,0)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ID]],customers!$A$2:$A$1001,customers!$I$2:$I$1001,,0)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Librica</v>
      </c>
      <c r="O73" t="str">
        <f t="shared" si="5"/>
        <v>Light</v>
      </c>
      <c r="P73" t="str">
        <f>_xlfn.XLOOKUP(Table1[[#This Row],[Customer ID]],customers!$A$2:$A$1001,customers!$I$2:$I$1001,,0)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ID]],customers!$A$2:$A$1001,customers!$I$2:$I$1001,,0)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Librica</v>
      </c>
      <c r="O75" t="str">
        <f t="shared" si="5"/>
        <v>Medium</v>
      </c>
      <c r="P75" t="str">
        <f>_xlfn.XLOOKUP(Table1[[#This Row],[Customer ID]],customers!$A$2:$A$1001,customers!$I$2:$I$1001,,0)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ID]],customers!$A$2:$A$1001,customers!$I$2:$I$1001,,0)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ID]],customers!$A$2:$A$1001,customers!$I$2:$I$1001,,0)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ID]],customers!$A$2:$A$1001,customers!$I$2:$I$1001,,0)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ID]],customers!$A$2:$A$1001,customers!$I$2:$I$1001,,0)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ID]],customers!$A$2:$A$1001,customers!$I$2:$I$1001,,0)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ID]],customers!$A$2:$A$1001,customers!$I$2:$I$1001,,0)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ID]],customers!$A$2:$A$1001,customers!$I$2:$I$1001,,0)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Librica</v>
      </c>
      <c r="O83" t="str">
        <f t="shared" si="5"/>
        <v>Light</v>
      </c>
      <c r="P83" t="str">
        <f>_xlfn.XLOOKUP(Table1[[#This Row],[Customer ID]],customers!$A$2:$A$1001,customers!$I$2:$I$1001,,0)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Librica</v>
      </c>
      <c r="O84" t="str">
        <f t="shared" si="5"/>
        <v>Medium</v>
      </c>
      <c r="P84" t="str">
        <f>_xlfn.XLOOKUP(Table1[[#This Row],[Customer ID]],customers!$A$2:$A$1001,customers!$I$2:$I$1001,,0)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ID]],customers!$A$2:$A$1001,customers!$I$2:$I$1001,,0)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Librica</v>
      </c>
      <c r="O86" t="str">
        <f t="shared" si="5"/>
        <v>Light</v>
      </c>
      <c r="P86" t="str">
        <f>_xlfn.XLOOKUP(Table1[[#This Row],[Customer ID]],customers!$A$2:$A$1001,customers!$I$2:$I$1001,,0)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ID]],customers!$A$2:$A$1001,customers!$I$2:$I$1001,,0)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ID]],customers!$A$2:$A$1001,customers!$I$2:$I$1001,,0)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ID]],customers!$A$2:$A$1001,customers!$I$2:$I$1001,,0)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ID]],customers!$A$2:$A$1001,customers!$I$2:$I$1001,,0)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ID]],customers!$A$2:$A$1001,customers!$I$2:$I$1001,,0)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ID]],customers!$A$2:$A$1001,customers!$I$2:$I$1001,,0)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ID]],customers!$A$2:$A$1001,customers!$I$2:$I$1001,,0)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ID]],customers!$A$2:$A$1001,customers!$I$2:$I$1001,,0)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ID]],customers!$A$2:$A$1001,customers!$I$2:$I$1001,,0)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ID]],customers!$A$2:$A$1001,customers!$I$2:$I$1001,,0)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ID]],customers!$A$2:$A$1001,customers!$I$2:$I$1001,,0)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ID]],customers!$A$2:$A$1001,customers!$I$2:$I$1001,,0)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ID]],customers!$A$2:$A$1001,customers!$I$2:$I$1001,,0)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ID]],customers!$A$2:$A$1001,customers!$I$2:$I$1001,,0)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Librica</v>
      </c>
      <c r="O101" t="str">
        <f t="shared" si="5"/>
        <v>Medium</v>
      </c>
      <c r="P101" t="str">
        <f>_xlfn.XLOOKUP(Table1[[#This Row],[Customer ID]],customers!$A$2:$A$1001,customers!$I$2:$I$1001,,0)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ID]],customers!$A$2:$A$1001,customers!$I$2:$I$1001,,0)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Librica</v>
      </c>
      <c r="O103" t="str">
        <f t="shared" si="5"/>
        <v>Dark</v>
      </c>
      <c r="P103" t="str">
        <f>_xlfn.XLOOKUP(Table1[[#This Row],[Customer ID]],customers!$A$2:$A$1001,customers!$I$2:$I$1001,,0)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Librica</v>
      </c>
      <c r="O104" t="str">
        <f t="shared" si="5"/>
        <v>Dark</v>
      </c>
      <c r="P104" t="str">
        <f>_xlfn.XLOOKUP(Table1[[#This Row],[Customer ID]],customers!$A$2:$A$1001,customers!$I$2:$I$1001,,0)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ID]],customers!$A$2:$A$1001,customers!$I$2:$I$1001,,0)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Librica</v>
      </c>
      <c r="O106" t="str">
        <f t="shared" si="5"/>
        <v>Medium</v>
      </c>
      <c r="P106" t="str">
        <f>_xlfn.XLOOKUP(Table1[[#This Row],[Customer ID]],customers!$A$2:$A$1001,customers!$I$2:$I$1001,,0)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ID]],customers!$A$2:$A$1001,customers!$I$2:$I$1001,,0)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ID]],customers!$A$2:$A$1001,customers!$I$2:$I$1001,,0)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ID]],customers!$A$2:$A$1001,customers!$I$2:$I$1001,,0)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ID]],customers!$A$2:$A$1001,customers!$I$2:$I$1001,,0)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Librica</v>
      </c>
      <c r="O111" t="str">
        <f t="shared" si="5"/>
        <v>Dark</v>
      </c>
      <c r="P111" t="str">
        <f>_xlfn.XLOOKUP(Table1[[#This Row],[Customer ID]],customers!$A$2:$A$1001,customers!$I$2:$I$1001,,0)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ID]],customers!$A$2:$A$1001,customers!$I$2:$I$1001,,0)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ID]],customers!$A$2:$A$1001,customers!$I$2:$I$1001,,0)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ID]],customers!$A$2:$A$1001,customers!$I$2:$I$1001,,0)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Librica</v>
      </c>
      <c r="O115" t="str">
        <f t="shared" si="5"/>
        <v>Medium</v>
      </c>
      <c r="P115" t="str">
        <f>_xlfn.XLOOKUP(Table1[[#This Row],[Customer ID]],customers!$A$2:$A$1001,customers!$I$2:$I$1001,,0)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ID]],customers!$A$2:$A$1001,customers!$I$2:$I$1001,,0)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Librica</v>
      </c>
      <c r="O117" t="str">
        <f t="shared" si="5"/>
        <v>Light</v>
      </c>
      <c r="P117" t="str">
        <f>_xlfn.XLOOKUP(Table1[[#This Row],[Customer ID]],customers!$A$2:$A$1001,customers!$I$2:$I$1001,,0)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Librica</v>
      </c>
      <c r="O118" t="str">
        <f t="shared" si="5"/>
        <v>Light</v>
      </c>
      <c r="P118" t="str">
        <f>_xlfn.XLOOKUP(Table1[[#This Row],[Customer ID]],customers!$A$2:$A$1001,customers!$I$2:$I$1001,,0)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Librica</v>
      </c>
      <c r="O119" t="str">
        <f t="shared" si="5"/>
        <v>Light</v>
      </c>
      <c r="P119" t="str">
        <f>_xlfn.XLOOKUP(Table1[[#This Row],[Customer ID]],customers!$A$2:$A$1001,customers!$I$2:$I$1001,,0)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ID]],customers!$A$2:$A$1001,customers!$I$2:$I$1001,,0)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ID]],customers!$A$2:$A$1001,customers!$I$2:$I$1001,,0)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ID]],customers!$A$2:$A$1001,customers!$I$2:$I$1001,,0)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ID]],customers!$A$2:$A$1001,customers!$I$2:$I$1001,,0)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ID]],customers!$A$2:$A$1001,customers!$I$2:$I$1001,,0)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Librica</v>
      </c>
      <c r="O125" t="str">
        <f t="shared" si="5"/>
        <v>Light</v>
      </c>
      <c r="P125" t="str">
        <f>_xlfn.XLOOKUP(Table1[[#This Row],[Customer ID]],customers!$A$2:$A$1001,customers!$I$2:$I$1001,,0)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Librica</v>
      </c>
      <c r="O126" t="str">
        <f t="shared" si="5"/>
        <v>Medium</v>
      </c>
      <c r="P126" t="str">
        <f>_xlfn.XLOOKUP(Table1[[#This Row],[Customer ID]],customers!$A$2:$A$1001,customers!$I$2:$I$1001,,0)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Librica</v>
      </c>
      <c r="O127" t="str">
        <f t="shared" si="5"/>
        <v>Medium</v>
      </c>
      <c r="P127" t="str">
        <f>_xlfn.XLOOKUP(Table1[[#This Row],[Customer ID]],customers!$A$2:$A$1001,customers!$I$2:$I$1001,,0)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ID]],customers!$A$2:$A$1001,customers!$I$2:$I$1001,,0)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Librica</v>
      </c>
      <c r="O129" t="str">
        <f t="shared" si="5"/>
        <v>Dark</v>
      </c>
      <c r="P129" t="str">
        <f>_xlfn.XLOOKUP(Table1[[#This Row],[Customer ID]],customers!$A$2:$A$1001,customers!$I$2:$I$1001,,0)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ID]],customers!$A$2:$A$1001,customers!$I$2:$I$1001,,0)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IF(I131="Rob","Robusta",IF(I131="Exc","Excelsa",IF(I131="Ara","Arabica",IF(I131="Lib","Librica",""))))</f>
        <v>Excelsa</v>
      </c>
      <c r="O131" t="str">
        <f t="shared" ref="O131:O194" si="8">IF(J131="M","Medium",IF(J131="L","Light",IF(J131="D","Dark","")))</f>
        <v>Dark</v>
      </c>
      <c r="P131" t="str">
        <f>_xlfn.XLOOKUP(Table1[[#This Row],[Customer ID]],customers!$A$2:$A$1001,customers!$I$2:$I$1001,,0)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ID]],customers!$A$2:$A$1001,customers!$I$2:$I$1001,,0)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ID]],customers!$A$2:$A$1001,customers!$I$2:$I$1001,,0)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ID]],customers!$A$2:$A$1001,customers!$I$2:$I$1001,,0)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Librica</v>
      </c>
      <c r="O135" t="str">
        <f t="shared" si="8"/>
        <v>Dark</v>
      </c>
      <c r="P135" t="str">
        <f>_xlfn.XLOOKUP(Table1[[#This Row],[Customer ID]],customers!$A$2:$A$1001,customers!$I$2:$I$1001,,0)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ID]],customers!$A$2:$A$1001,customers!$I$2:$I$1001,,0)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ID]],customers!$A$2:$A$1001,customers!$I$2:$I$1001,,0)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ID]],customers!$A$2:$A$1001,customers!$I$2:$I$1001,,0)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ID]],customers!$A$2:$A$1001,customers!$I$2:$I$1001,,0)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ID]],customers!$A$2:$A$1001,customers!$I$2:$I$1001,,0)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Librica</v>
      </c>
      <c r="O141" t="str">
        <f t="shared" si="8"/>
        <v>Dark</v>
      </c>
      <c r="P141" t="str">
        <f>_xlfn.XLOOKUP(Table1[[#This Row],[Customer ID]],customers!$A$2:$A$1001,customers!$I$2:$I$1001,,0)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Librica</v>
      </c>
      <c r="O142" t="str">
        <f t="shared" si="8"/>
        <v>Dark</v>
      </c>
      <c r="P142" t="str">
        <f>_xlfn.XLOOKUP(Table1[[#This Row],[Customer ID]],customers!$A$2:$A$1001,customers!$I$2:$I$1001,,0)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ID]],customers!$A$2:$A$1001,customers!$I$2:$I$1001,,0)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ID]],customers!$A$2:$A$1001,customers!$I$2:$I$1001,,0)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Librica</v>
      </c>
      <c r="O145" t="str">
        <f t="shared" si="8"/>
        <v>Medium</v>
      </c>
      <c r="P145" t="str">
        <f>_xlfn.XLOOKUP(Table1[[#This Row],[Customer ID]],customers!$A$2:$A$1001,customers!$I$2:$I$1001,,0)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ID]],customers!$A$2:$A$1001,customers!$I$2:$I$1001,,0)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Librica</v>
      </c>
      <c r="O147" t="str">
        <f t="shared" si="8"/>
        <v>Medium</v>
      </c>
      <c r="P147" t="str">
        <f>_xlfn.XLOOKUP(Table1[[#This Row],[Customer ID]],customers!$A$2:$A$1001,customers!$I$2:$I$1001,,0)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Librica</v>
      </c>
      <c r="O148" t="str">
        <f t="shared" si="8"/>
        <v>Medium</v>
      </c>
      <c r="P148" t="str">
        <f>_xlfn.XLOOKUP(Table1[[#This Row],[Customer ID]],customers!$A$2:$A$1001,customers!$I$2:$I$1001,,0)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ID]],customers!$A$2:$A$1001,customers!$I$2:$I$1001,,0)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ID]],customers!$A$2:$A$1001,customers!$I$2:$I$1001,,0)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ID]],customers!$A$2:$A$1001,customers!$I$2:$I$1001,,0)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Librica</v>
      </c>
      <c r="O152" t="str">
        <f t="shared" si="8"/>
        <v>Dark</v>
      </c>
      <c r="P152" t="str">
        <f>_xlfn.XLOOKUP(Table1[[#This Row],[Customer ID]],customers!$A$2:$A$1001,customers!$I$2:$I$1001,,0)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ID]],customers!$A$2:$A$1001,customers!$I$2:$I$1001,,0)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ID]],customers!$A$2:$A$1001,customers!$I$2:$I$1001,,0)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ID]],customers!$A$2:$A$1001,customers!$I$2:$I$1001,,0)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ID]],customers!$A$2:$A$1001,customers!$I$2:$I$1001,,0)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ID]],customers!$A$2:$A$1001,customers!$I$2:$I$1001,,0)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ID]],customers!$A$2:$A$1001,customers!$I$2:$I$1001,,0)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ID]],customers!$A$2:$A$1001,customers!$I$2:$I$1001,,0)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ID]],customers!$A$2:$A$1001,customers!$I$2:$I$1001,,0)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Librica</v>
      </c>
      <c r="O161" t="str">
        <f t="shared" si="8"/>
        <v>Light</v>
      </c>
      <c r="P161" t="str">
        <f>_xlfn.XLOOKUP(Table1[[#This Row],[Customer ID]],customers!$A$2:$A$1001,customers!$I$2:$I$1001,,0)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ID]],customers!$A$2:$A$1001,customers!$I$2:$I$1001,,0)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ID]],customers!$A$2:$A$1001,customers!$I$2:$I$1001,,0)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ID]],customers!$A$2:$A$1001,customers!$I$2:$I$1001,,0)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ID]],customers!$A$2:$A$1001,customers!$I$2:$I$1001,,0)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ID]],customers!$A$2:$A$1001,customers!$I$2:$I$1001,,0)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ID]],customers!$A$2:$A$1001,customers!$I$2:$I$1001,,0)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ID]],customers!$A$2:$A$1001,customers!$I$2:$I$1001,,0)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ID]],customers!$A$2:$A$1001,customers!$I$2:$I$1001,,0)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ID]],customers!$A$2:$A$1001,customers!$I$2:$I$1001,,0)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ID]],customers!$A$2:$A$1001,customers!$I$2:$I$1001,,0)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ID]],customers!$A$2:$A$1001,customers!$I$2:$I$1001,,0)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ID]],customers!$A$2:$A$1001,customers!$I$2:$I$1001,,0)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ID]],customers!$A$2:$A$1001,customers!$I$2:$I$1001,,0)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ID]],customers!$A$2:$A$1001,customers!$I$2:$I$1001,,0)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ID]],customers!$A$2:$A$1001,customers!$I$2:$I$1001,,0)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ID]],customers!$A$2:$A$1001,customers!$I$2:$I$1001,,0)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ID]],customers!$A$2:$A$1001,customers!$I$2:$I$1001,,0)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ID]],customers!$A$2:$A$1001,customers!$I$2:$I$1001,,0)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ID]],customers!$A$2:$A$1001,customers!$I$2:$I$1001,,0)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ID]],customers!$A$2:$A$1001,customers!$I$2:$I$1001,,0)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ID]],customers!$A$2:$A$1001,customers!$I$2:$I$1001,,0)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ID]],customers!$A$2:$A$1001,customers!$I$2:$I$1001,,0)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ID]],customers!$A$2:$A$1001,customers!$I$2:$I$1001,,0)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ID]],customers!$A$2:$A$1001,customers!$I$2:$I$1001,,0)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ID]],customers!$A$2:$A$1001,customers!$I$2:$I$1001,,0)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ID]],customers!$A$2:$A$1001,customers!$I$2:$I$1001,,0)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ID]],customers!$A$2:$A$1001,customers!$I$2:$I$1001,,0)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Librica</v>
      </c>
      <c r="O189" t="str">
        <f t="shared" si="8"/>
        <v>Medium</v>
      </c>
      <c r="P189" t="str">
        <f>_xlfn.XLOOKUP(Table1[[#This Row],[Customer ID]],customers!$A$2:$A$1001,customers!$I$2:$I$1001,,0)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ID]],customers!$A$2:$A$1001,customers!$I$2:$I$1001,,0)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Librica</v>
      </c>
      <c r="O191" t="str">
        <f t="shared" si="8"/>
        <v>Medium</v>
      </c>
      <c r="P191" t="str">
        <f>_xlfn.XLOOKUP(Table1[[#This Row],[Customer ID]],customers!$A$2:$A$1001,customers!$I$2:$I$1001,,0)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Librica</v>
      </c>
      <c r="O192" t="str">
        <f t="shared" si="8"/>
        <v>Medium</v>
      </c>
      <c r="P192" t="str">
        <f>_xlfn.XLOOKUP(Table1[[#This Row],[Customer ID]],customers!$A$2:$A$1001,customers!$I$2:$I$1001,,0)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Librica</v>
      </c>
      <c r="O193" t="str">
        <f t="shared" si="8"/>
        <v>Dark</v>
      </c>
      <c r="P193" t="str">
        <f>_xlfn.XLOOKUP(Table1[[#This Row],[Customer ID]],customers!$A$2:$A$1001,customers!$I$2:$I$1001,,0)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ID]],customers!$A$2:$A$1001,customers!$I$2:$I$1001,,0)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IF(I195="Rob","Robusta",IF(I195="Exc","Excelsa",IF(I195="Ara","Arabica",IF(I195="Lib","Librica",""))))</f>
        <v>Excelsa</v>
      </c>
      <c r="O195" t="str">
        <f t="shared" ref="O195:O258" si="11">IF(J195="M","Medium",IF(J195="L","Light",IF(J195="D","Dark","")))</f>
        <v>Light</v>
      </c>
      <c r="P195" t="str">
        <f>_xlfn.XLOOKUP(Table1[[#This Row],[Customer ID]],customers!$A$2:$A$1001,customers!$I$2:$I$1001,,0)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ID]],customers!$A$2:$A$1001,customers!$I$2:$I$1001,,0)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ID]],customers!$A$2:$A$1001,customers!$I$2:$I$1001,,0)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ID]],customers!$A$2:$A$1001,customers!$I$2:$I$1001,,0)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Librica</v>
      </c>
      <c r="O199" t="str">
        <f t="shared" si="11"/>
        <v>Dark</v>
      </c>
      <c r="P199" t="str">
        <f>_xlfn.XLOOKUP(Table1[[#This Row],[Customer ID]],customers!$A$2:$A$1001,customers!$I$2:$I$1001,,0)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Librica</v>
      </c>
      <c r="O200" t="str">
        <f t="shared" si="11"/>
        <v>Dark</v>
      </c>
      <c r="P200" t="str">
        <f>_xlfn.XLOOKUP(Table1[[#This Row],[Customer ID]],customers!$A$2:$A$1001,customers!$I$2:$I$1001,,0)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Librica</v>
      </c>
      <c r="O201" t="str">
        <f t="shared" si="11"/>
        <v>Light</v>
      </c>
      <c r="P201" t="str">
        <f>_xlfn.XLOOKUP(Table1[[#This Row],[Customer ID]],customers!$A$2:$A$1001,customers!$I$2:$I$1001,,0)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ID]],customers!$A$2:$A$1001,customers!$I$2:$I$1001,,0)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Librica</v>
      </c>
      <c r="O203" t="str">
        <f t="shared" si="11"/>
        <v>Light</v>
      </c>
      <c r="P203" t="str">
        <f>_xlfn.XLOOKUP(Table1[[#This Row],[Customer ID]],customers!$A$2:$A$1001,customers!$I$2:$I$1001,,0)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Librica</v>
      </c>
      <c r="O204" t="str">
        <f t="shared" si="11"/>
        <v>Dark</v>
      </c>
      <c r="P204" t="str">
        <f>_xlfn.XLOOKUP(Table1[[#This Row],[Customer ID]],customers!$A$2:$A$1001,customers!$I$2:$I$1001,,0)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Librica</v>
      </c>
      <c r="O205" t="str">
        <f t="shared" si="11"/>
        <v>Light</v>
      </c>
      <c r="P205" t="str">
        <f>_xlfn.XLOOKUP(Table1[[#This Row],[Customer ID]],customers!$A$2:$A$1001,customers!$I$2:$I$1001,,0)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ID]],customers!$A$2:$A$1001,customers!$I$2:$I$1001,,0)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ID]],customers!$A$2:$A$1001,customers!$I$2:$I$1001,,0)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ID]],customers!$A$2:$A$1001,customers!$I$2:$I$1001,,0)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ID]],customers!$A$2:$A$1001,customers!$I$2:$I$1001,,0)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ID]],customers!$A$2:$A$1001,customers!$I$2:$I$1001,,0)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ID]],customers!$A$2:$A$1001,customers!$I$2:$I$1001,,0)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Librica</v>
      </c>
      <c r="O212" t="str">
        <f t="shared" si="11"/>
        <v>Dark</v>
      </c>
      <c r="P212" t="str">
        <f>_xlfn.XLOOKUP(Table1[[#This Row],[Customer ID]],customers!$A$2:$A$1001,customers!$I$2:$I$1001,,0)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ID]],customers!$A$2:$A$1001,customers!$I$2:$I$1001,,0)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ID]],customers!$A$2:$A$1001,customers!$I$2:$I$1001,,0)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ID]],customers!$A$2:$A$1001,customers!$I$2:$I$1001,,0)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Librica</v>
      </c>
      <c r="O216" t="str">
        <f t="shared" si="11"/>
        <v>Light</v>
      </c>
      <c r="P216" t="str">
        <f>_xlfn.XLOOKUP(Table1[[#This Row],[Customer ID]],customers!$A$2:$A$1001,customers!$I$2:$I$1001,,0)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Librica</v>
      </c>
      <c r="O217" t="str">
        <f t="shared" si="11"/>
        <v>Dark</v>
      </c>
      <c r="P217" t="str">
        <f>_xlfn.XLOOKUP(Table1[[#This Row],[Customer ID]],customers!$A$2:$A$1001,customers!$I$2:$I$1001,,0)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Librica</v>
      </c>
      <c r="O218" t="str">
        <f t="shared" si="11"/>
        <v>Medium</v>
      </c>
      <c r="P218" t="str">
        <f>_xlfn.XLOOKUP(Table1[[#This Row],[Customer ID]],customers!$A$2:$A$1001,customers!$I$2:$I$1001,,0)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ID]],customers!$A$2:$A$1001,customers!$I$2:$I$1001,,0)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ID]],customers!$A$2:$A$1001,customers!$I$2:$I$1001,,0)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ID]],customers!$A$2:$A$1001,customers!$I$2:$I$1001,,0)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ID]],customers!$A$2:$A$1001,customers!$I$2:$I$1001,,0)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ID]],customers!$A$2:$A$1001,customers!$I$2:$I$1001,,0)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Librica</v>
      </c>
      <c r="O224" t="str">
        <f t="shared" si="11"/>
        <v>Dark</v>
      </c>
      <c r="P224" t="str">
        <f>_xlfn.XLOOKUP(Table1[[#This Row],[Customer ID]],customers!$A$2:$A$1001,customers!$I$2:$I$1001,,0)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ID]],customers!$A$2:$A$1001,customers!$I$2:$I$1001,,0)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Librica</v>
      </c>
      <c r="O226" t="str">
        <f t="shared" si="11"/>
        <v>Dark</v>
      </c>
      <c r="P226" t="str">
        <f>_xlfn.XLOOKUP(Table1[[#This Row],[Customer ID]],customers!$A$2:$A$1001,customers!$I$2:$I$1001,,0)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ID]],customers!$A$2:$A$1001,customers!$I$2:$I$1001,,0)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ID]],customers!$A$2:$A$1001,customers!$I$2:$I$1001,,0)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ID]],customers!$A$2:$A$1001,customers!$I$2:$I$1001,,0)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ID]],customers!$A$2:$A$1001,customers!$I$2:$I$1001,,0)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Librica</v>
      </c>
      <c r="O231" t="str">
        <f t="shared" si="11"/>
        <v>Medium</v>
      </c>
      <c r="P231" t="str">
        <f>_xlfn.XLOOKUP(Table1[[#This Row],[Customer ID]],customers!$A$2:$A$1001,customers!$I$2:$I$1001,,0)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ID]],customers!$A$2:$A$1001,customers!$I$2:$I$1001,,0)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Librica</v>
      </c>
      <c r="O233" t="str">
        <f t="shared" si="11"/>
        <v>Medium</v>
      </c>
      <c r="P233" t="str">
        <f>_xlfn.XLOOKUP(Table1[[#This Row],[Customer ID]],customers!$A$2:$A$1001,customers!$I$2:$I$1001,,0)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Librica</v>
      </c>
      <c r="O234" t="str">
        <f t="shared" si="11"/>
        <v>Light</v>
      </c>
      <c r="P234" t="str">
        <f>_xlfn.XLOOKUP(Table1[[#This Row],[Customer ID]],customers!$A$2:$A$1001,customers!$I$2:$I$1001,,0)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ID]],customers!$A$2:$A$1001,customers!$I$2:$I$1001,,0)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Librica</v>
      </c>
      <c r="O236" t="str">
        <f t="shared" si="11"/>
        <v>Light</v>
      </c>
      <c r="P236" t="str">
        <f>_xlfn.XLOOKUP(Table1[[#This Row],[Customer ID]],customers!$A$2:$A$1001,customers!$I$2:$I$1001,,0)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Librica</v>
      </c>
      <c r="O237" t="str">
        <f t="shared" si="11"/>
        <v>Light</v>
      </c>
      <c r="P237" t="str">
        <f>_xlfn.XLOOKUP(Table1[[#This Row],[Customer ID]],customers!$A$2:$A$1001,customers!$I$2:$I$1001,,0)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Librica</v>
      </c>
      <c r="O238" t="str">
        <f t="shared" si="11"/>
        <v>Dark</v>
      </c>
      <c r="P238" t="str">
        <f>_xlfn.XLOOKUP(Table1[[#This Row],[Customer ID]],customers!$A$2:$A$1001,customers!$I$2:$I$1001,,0)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ID]],customers!$A$2:$A$1001,customers!$I$2:$I$1001,,0)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ID]],customers!$A$2:$A$1001,customers!$I$2:$I$1001,,0)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ID]],customers!$A$2:$A$1001,customers!$I$2:$I$1001,,0)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ID]],customers!$A$2:$A$1001,customers!$I$2:$I$1001,,0)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ID]],customers!$A$2:$A$1001,customers!$I$2:$I$1001,,0)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ID]],customers!$A$2:$A$1001,customers!$I$2:$I$1001,,0)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ID]],customers!$A$2:$A$1001,customers!$I$2:$I$1001,,0)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Librica</v>
      </c>
      <c r="O246" t="str">
        <f t="shared" si="11"/>
        <v>Medium</v>
      </c>
      <c r="P246" t="str">
        <f>_xlfn.XLOOKUP(Table1[[#This Row],[Customer ID]],customers!$A$2:$A$1001,customers!$I$2:$I$1001,,0)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Librica</v>
      </c>
      <c r="O247" t="str">
        <f t="shared" si="11"/>
        <v>Light</v>
      </c>
      <c r="P247" t="str">
        <f>_xlfn.XLOOKUP(Table1[[#This Row],[Customer ID]],customers!$A$2:$A$1001,customers!$I$2:$I$1001,,0)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Librica</v>
      </c>
      <c r="O248" t="str">
        <f t="shared" si="11"/>
        <v>Dark</v>
      </c>
      <c r="P248" t="str">
        <f>_xlfn.XLOOKUP(Table1[[#This Row],[Customer ID]],customers!$A$2:$A$1001,customers!$I$2:$I$1001,,0)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ID]],customers!$A$2:$A$1001,customers!$I$2:$I$1001,,0)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ID]],customers!$A$2:$A$1001,customers!$I$2:$I$1001,,0)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Librica</v>
      </c>
      <c r="O251" t="str">
        <f t="shared" si="11"/>
        <v>Light</v>
      </c>
      <c r="P251" t="str">
        <f>_xlfn.XLOOKUP(Table1[[#This Row],[Customer ID]],customers!$A$2:$A$1001,customers!$I$2:$I$1001,,0)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ID]],customers!$A$2:$A$1001,customers!$I$2:$I$1001,,0)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ID]],customers!$A$2:$A$1001,customers!$I$2:$I$1001,,0)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ID]],customers!$A$2:$A$1001,customers!$I$2:$I$1001,,0)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Librica</v>
      </c>
      <c r="O255" t="str">
        <f t="shared" si="11"/>
        <v>Medium</v>
      </c>
      <c r="P255" t="str">
        <f>_xlfn.XLOOKUP(Table1[[#This Row],[Customer ID]],customers!$A$2:$A$1001,customers!$I$2:$I$1001,,0)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ID]],customers!$A$2:$A$1001,customers!$I$2:$I$1001,,0)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ID]],customers!$A$2:$A$1001,customers!$I$2:$I$1001,,0)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Librica</v>
      </c>
      <c r="O258" t="str">
        <f t="shared" si="11"/>
        <v>Medium</v>
      </c>
      <c r="P258" t="str">
        <f>_xlfn.XLOOKUP(Table1[[#This Row],[Customer ID]],customers!$A$2:$A$1001,customers!$I$2:$I$1001,,0)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IF(I259="Rob","Robusta",IF(I259="Exc","Excelsa",IF(I259="Ara","Arabica",IF(I259="Lib","Librica",""))))</f>
        <v>Excelsa</v>
      </c>
      <c r="O259" t="str">
        <f t="shared" ref="O259:O322" si="14">IF(J259="M","Medium",IF(J259="L","Light",IF(J259="D","Dark","")))</f>
        <v>Dark</v>
      </c>
      <c r="P259" t="str">
        <f>_xlfn.XLOOKUP(Table1[[#This Row],[Customer ID]],customers!$A$2:$A$1001,customers!$I$2:$I$1001,,0)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ID]],customers!$A$2:$A$1001,customers!$I$2:$I$1001,,0)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ID]],customers!$A$2:$A$1001,customers!$I$2:$I$1001,,0)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ID]],customers!$A$2:$A$1001,customers!$I$2:$I$1001,,0)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ID]],customers!$A$2:$A$1001,customers!$I$2:$I$1001,,0)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ID]],customers!$A$2:$A$1001,customers!$I$2:$I$1001,,0)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Librica</v>
      </c>
      <c r="O265" t="str">
        <f t="shared" si="14"/>
        <v>Medium</v>
      </c>
      <c r="P265" t="str">
        <f>_xlfn.XLOOKUP(Table1[[#This Row],[Customer ID]],customers!$A$2:$A$1001,customers!$I$2:$I$1001,,0)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ID]],customers!$A$2:$A$1001,customers!$I$2:$I$1001,,0)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ID]],customers!$A$2:$A$1001,customers!$I$2:$I$1001,,0)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ID]],customers!$A$2:$A$1001,customers!$I$2:$I$1001,,0)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ID]],customers!$A$2:$A$1001,customers!$I$2:$I$1001,,0)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ID]],customers!$A$2:$A$1001,customers!$I$2:$I$1001,,0)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ID]],customers!$A$2:$A$1001,customers!$I$2:$I$1001,,0)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ID]],customers!$A$2:$A$1001,customers!$I$2:$I$1001,,0)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ID]],customers!$A$2:$A$1001,customers!$I$2:$I$1001,,0)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ID]],customers!$A$2:$A$1001,customers!$I$2:$I$1001,,0)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ID]],customers!$A$2:$A$1001,customers!$I$2:$I$1001,,0)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ID]],customers!$A$2:$A$1001,customers!$I$2:$I$1001,,0)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ID]],customers!$A$2:$A$1001,customers!$I$2:$I$1001,,0)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ID]],customers!$A$2:$A$1001,customers!$I$2:$I$1001,,0)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ID]],customers!$A$2:$A$1001,customers!$I$2:$I$1001,,0)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ID]],customers!$A$2:$A$1001,customers!$I$2:$I$1001,,0)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Librica</v>
      </c>
      <c r="O281" t="str">
        <f t="shared" si="14"/>
        <v>Medium</v>
      </c>
      <c r="P281" t="str">
        <f>_xlfn.XLOOKUP(Table1[[#This Row],[Customer ID]],customers!$A$2:$A$1001,customers!$I$2:$I$1001,,0)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ID]],customers!$A$2:$A$1001,customers!$I$2:$I$1001,,0)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ID]],customers!$A$2:$A$1001,customers!$I$2:$I$1001,,0)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ID]],customers!$A$2:$A$1001,customers!$I$2:$I$1001,,0)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ID]],customers!$A$2:$A$1001,customers!$I$2:$I$1001,,0)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ID]],customers!$A$2:$A$1001,customers!$I$2:$I$1001,,0)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Librica</v>
      </c>
      <c r="O287" t="str">
        <f t="shared" si="14"/>
        <v>Light</v>
      </c>
      <c r="P287" t="str">
        <f>_xlfn.XLOOKUP(Table1[[#This Row],[Customer ID]],customers!$A$2:$A$1001,customers!$I$2:$I$1001,,0)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ID]],customers!$A$2:$A$1001,customers!$I$2:$I$1001,,0)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ID]],customers!$A$2:$A$1001,customers!$I$2:$I$1001,,0)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ID]],customers!$A$2:$A$1001,customers!$I$2:$I$1001,,0)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ID]],customers!$A$2:$A$1001,customers!$I$2:$I$1001,,0)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ID]],customers!$A$2:$A$1001,customers!$I$2:$I$1001,,0)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ID]],customers!$A$2:$A$1001,customers!$I$2:$I$1001,,0)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ID]],customers!$A$2:$A$1001,customers!$I$2:$I$1001,,0)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ID]],customers!$A$2:$A$1001,customers!$I$2:$I$1001,,0)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ID]],customers!$A$2:$A$1001,customers!$I$2:$I$1001,,0)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ID]],customers!$A$2:$A$1001,customers!$I$2:$I$1001,,0)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ID]],customers!$A$2:$A$1001,customers!$I$2:$I$1001,,0)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ID]],customers!$A$2:$A$1001,customers!$I$2:$I$1001,,0)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ID]],customers!$A$2:$A$1001,customers!$I$2:$I$1001,,0)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ID]],customers!$A$2:$A$1001,customers!$I$2:$I$1001,,0)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ID]],customers!$A$2:$A$1001,customers!$I$2:$I$1001,,0)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Librica</v>
      </c>
      <c r="O303" t="str">
        <f t="shared" si="14"/>
        <v>Dark</v>
      </c>
      <c r="P303" t="str">
        <f>_xlfn.XLOOKUP(Table1[[#This Row],[Customer ID]],customers!$A$2:$A$1001,customers!$I$2:$I$1001,,0)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ID]],customers!$A$2:$A$1001,customers!$I$2:$I$1001,,0)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ID]],customers!$A$2:$A$1001,customers!$I$2:$I$1001,,0)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ID]],customers!$A$2:$A$1001,customers!$I$2:$I$1001,,0)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Librica</v>
      </c>
      <c r="O307" t="str">
        <f t="shared" si="14"/>
        <v>Medium</v>
      </c>
      <c r="P307" t="str">
        <f>_xlfn.XLOOKUP(Table1[[#This Row],[Customer ID]],customers!$A$2:$A$1001,customers!$I$2:$I$1001,,0)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ID]],customers!$A$2:$A$1001,customers!$I$2:$I$1001,,0)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ID]],customers!$A$2:$A$1001,customers!$I$2:$I$1001,,0)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ID]],customers!$A$2:$A$1001,customers!$I$2:$I$1001,,0)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Librica</v>
      </c>
      <c r="O311" t="str">
        <f t="shared" si="14"/>
        <v>Medium</v>
      </c>
      <c r="P311" t="str">
        <f>_xlfn.XLOOKUP(Table1[[#This Row],[Customer ID]],customers!$A$2:$A$1001,customers!$I$2:$I$1001,,0)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ID]],customers!$A$2:$A$1001,customers!$I$2:$I$1001,,0)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ID]],customers!$A$2:$A$1001,customers!$I$2:$I$1001,,0)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ID]],customers!$A$2:$A$1001,customers!$I$2:$I$1001,,0)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ID]],customers!$A$2:$A$1001,customers!$I$2:$I$1001,,0)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ID]],customers!$A$2:$A$1001,customers!$I$2:$I$1001,,0)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ID]],customers!$A$2:$A$1001,customers!$I$2:$I$1001,,0)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ID]],customers!$A$2:$A$1001,customers!$I$2:$I$1001,,0)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ID]],customers!$A$2:$A$1001,customers!$I$2:$I$1001,,0)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ID]],customers!$A$2:$A$1001,customers!$I$2:$I$1001,,0)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ID]],customers!$A$2:$A$1001,customers!$I$2:$I$1001,,0)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ID]],customers!$A$2:$A$1001,customers!$I$2:$I$1001,,0)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IF(I323="Rob","Robusta",IF(I323="Exc","Excelsa",IF(I323="Ara","Arabica",IF(I323="Lib","Librica",""))))</f>
        <v>Arabica</v>
      </c>
      <c r="O323" t="str">
        <f t="shared" ref="O323:O386" si="17">IF(J323="M","Medium",IF(J323="L","Light",IF(J323="D","Dark","")))</f>
        <v>Medium</v>
      </c>
      <c r="P323" t="str">
        <f>_xlfn.XLOOKUP(Table1[[#This Row],[Customer ID]],customers!$A$2:$A$1001,customers!$I$2:$I$1001,,0)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Librica</v>
      </c>
      <c r="O324" t="str">
        <f t="shared" si="17"/>
        <v>Dark</v>
      </c>
      <c r="P324" t="str">
        <f>_xlfn.XLOOKUP(Table1[[#This Row],[Customer ID]],customers!$A$2:$A$1001,customers!$I$2:$I$1001,,0)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ID]],customers!$A$2:$A$1001,customers!$I$2:$I$1001,,0)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ID]],customers!$A$2:$A$1001,customers!$I$2:$I$1001,,0)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ID]],customers!$A$2:$A$1001,customers!$I$2:$I$1001,,0)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ID]],customers!$A$2:$A$1001,customers!$I$2:$I$1001,,0)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ID]],customers!$A$2:$A$1001,customers!$I$2:$I$1001,,0)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Librica</v>
      </c>
      <c r="O330" t="str">
        <f t="shared" si="17"/>
        <v>Light</v>
      </c>
      <c r="P330" t="str">
        <f>_xlfn.XLOOKUP(Table1[[#This Row],[Customer ID]],customers!$A$2:$A$1001,customers!$I$2:$I$1001,,0)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ID]],customers!$A$2:$A$1001,customers!$I$2:$I$1001,,0)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ID]],customers!$A$2:$A$1001,customers!$I$2:$I$1001,,0)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ID]],customers!$A$2:$A$1001,customers!$I$2:$I$1001,,0)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ID]],customers!$A$2:$A$1001,customers!$I$2:$I$1001,,0)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ID]],customers!$A$2:$A$1001,customers!$I$2:$I$1001,,0)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ID]],customers!$A$2:$A$1001,customers!$I$2:$I$1001,,0)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Librica</v>
      </c>
      <c r="O337" t="str">
        <f t="shared" si="17"/>
        <v>Light</v>
      </c>
      <c r="P337" t="str">
        <f>_xlfn.XLOOKUP(Table1[[#This Row],[Customer ID]],customers!$A$2:$A$1001,customers!$I$2:$I$1001,,0)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ID]],customers!$A$2:$A$1001,customers!$I$2:$I$1001,,0)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ID]],customers!$A$2:$A$1001,customers!$I$2:$I$1001,,0)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ID]],customers!$A$2:$A$1001,customers!$I$2:$I$1001,,0)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ID]],customers!$A$2:$A$1001,customers!$I$2:$I$1001,,0)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ID]],customers!$A$2:$A$1001,customers!$I$2:$I$1001,,0)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ID]],customers!$A$2:$A$1001,customers!$I$2:$I$1001,,0)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Librica</v>
      </c>
      <c r="O344" t="str">
        <f t="shared" si="17"/>
        <v>Dark</v>
      </c>
      <c r="P344" t="str">
        <f>_xlfn.XLOOKUP(Table1[[#This Row],[Customer ID]],customers!$A$2:$A$1001,customers!$I$2:$I$1001,,0)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ID]],customers!$A$2:$A$1001,customers!$I$2:$I$1001,,0)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ID]],customers!$A$2:$A$1001,customers!$I$2:$I$1001,,0)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ID]],customers!$A$2:$A$1001,customers!$I$2:$I$1001,,0)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ID]],customers!$A$2:$A$1001,customers!$I$2:$I$1001,,0)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Librica</v>
      </c>
      <c r="O349" t="str">
        <f t="shared" si="17"/>
        <v>Medium</v>
      </c>
      <c r="P349" t="str">
        <f>_xlfn.XLOOKUP(Table1[[#This Row],[Customer ID]],customers!$A$2:$A$1001,customers!$I$2:$I$1001,,0)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ID]],customers!$A$2:$A$1001,customers!$I$2:$I$1001,,0)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ID]],customers!$A$2:$A$1001,customers!$I$2:$I$1001,,0)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ID]],customers!$A$2:$A$1001,customers!$I$2:$I$1001,,0)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ID]],customers!$A$2:$A$1001,customers!$I$2:$I$1001,,0)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ID]],customers!$A$2:$A$1001,customers!$I$2:$I$1001,,0)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ID]],customers!$A$2:$A$1001,customers!$I$2:$I$1001,,0)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ID]],customers!$A$2:$A$1001,customers!$I$2:$I$1001,,0)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ID]],customers!$A$2:$A$1001,customers!$I$2:$I$1001,,0)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Librica</v>
      </c>
      <c r="O358" t="str">
        <f t="shared" si="17"/>
        <v>Dark</v>
      </c>
      <c r="P358" t="str">
        <f>_xlfn.XLOOKUP(Table1[[#This Row],[Customer ID]],customers!$A$2:$A$1001,customers!$I$2:$I$1001,,0)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ID]],customers!$A$2:$A$1001,customers!$I$2:$I$1001,,0)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ID]],customers!$A$2:$A$1001,customers!$I$2:$I$1001,,0)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ID]],customers!$A$2:$A$1001,customers!$I$2:$I$1001,,0)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ID]],customers!$A$2:$A$1001,customers!$I$2:$I$1001,,0)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ID]],customers!$A$2:$A$1001,customers!$I$2:$I$1001,,0)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ID]],customers!$A$2:$A$1001,customers!$I$2:$I$1001,,0)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Librica</v>
      </c>
      <c r="O365" t="str">
        <f t="shared" si="17"/>
        <v>Medium</v>
      </c>
      <c r="P365" t="str">
        <f>_xlfn.XLOOKUP(Table1[[#This Row],[Customer ID]],customers!$A$2:$A$1001,customers!$I$2:$I$1001,,0)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ID]],customers!$A$2:$A$1001,customers!$I$2:$I$1001,,0)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Librica</v>
      </c>
      <c r="O367" t="str">
        <f t="shared" si="17"/>
        <v>Dark</v>
      </c>
      <c r="P367" t="str">
        <f>_xlfn.XLOOKUP(Table1[[#This Row],[Customer ID]],customers!$A$2:$A$1001,customers!$I$2:$I$1001,,0)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ID]],customers!$A$2:$A$1001,customers!$I$2:$I$1001,,0)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Librica</v>
      </c>
      <c r="O369" t="str">
        <f t="shared" si="17"/>
        <v>Medium</v>
      </c>
      <c r="P369" t="str">
        <f>_xlfn.XLOOKUP(Table1[[#This Row],[Customer ID]],customers!$A$2:$A$1001,customers!$I$2:$I$1001,,0)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ID]],customers!$A$2:$A$1001,customers!$I$2:$I$1001,,0)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ID]],customers!$A$2:$A$1001,customers!$I$2:$I$1001,,0)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ID]],customers!$A$2:$A$1001,customers!$I$2:$I$1001,,0)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ID]],customers!$A$2:$A$1001,customers!$I$2:$I$1001,,0)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ID]],customers!$A$2:$A$1001,customers!$I$2:$I$1001,,0)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ID]],customers!$A$2:$A$1001,customers!$I$2:$I$1001,,0)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Librica</v>
      </c>
      <c r="O376" t="str">
        <f t="shared" si="17"/>
        <v>Light</v>
      </c>
      <c r="P376" t="str">
        <f>_xlfn.XLOOKUP(Table1[[#This Row],[Customer ID]],customers!$A$2:$A$1001,customers!$I$2:$I$1001,,0)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ID]],customers!$A$2:$A$1001,customers!$I$2:$I$1001,,0)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ID]],customers!$A$2:$A$1001,customers!$I$2:$I$1001,,0)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ID]],customers!$A$2:$A$1001,customers!$I$2:$I$1001,,0)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ID]],customers!$A$2:$A$1001,customers!$I$2:$I$1001,,0)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ID]],customers!$A$2:$A$1001,customers!$I$2:$I$1001,,0)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Librica</v>
      </c>
      <c r="O382" t="str">
        <f t="shared" si="17"/>
        <v>Dark</v>
      </c>
      <c r="P382" t="str">
        <f>_xlfn.XLOOKUP(Table1[[#This Row],[Customer ID]],customers!$A$2:$A$1001,customers!$I$2:$I$1001,,0)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ID]],customers!$A$2:$A$1001,customers!$I$2:$I$1001,,0)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ID]],customers!$A$2:$A$1001,customers!$I$2:$I$1001,,0)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ID]],customers!$A$2:$A$1001,customers!$I$2:$I$1001,,0)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ID]],customers!$A$2:$A$1001,customers!$I$2:$I$1001,,0)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IF(I387="Rob","Robusta",IF(I387="Exc","Excelsa",IF(I387="Ara","Arabica",IF(I387="Lib","Librica",""))))</f>
        <v>Librica</v>
      </c>
      <c r="O387" t="str">
        <f t="shared" ref="O387:O450" si="20">IF(J387="M","Medium",IF(J387="L","Light",IF(J387="D","Dark","")))</f>
        <v>Medium</v>
      </c>
      <c r="P387" t="str">
        <f>_xlfn.XLOOKUP(Table1[[#This Row],[Customer ID]],customers!$A$2:$A$1001,customers!$I$2:$I$1001,,0)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ID]],customers!$A$2:$A$1001,customers!$I$2:$I$1001,,0)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ID]],customers!$A$2:$A$1001,customers!$I$2:$I$1001,,0)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Librica</v>
      </c>
      <c r="O390" t="str">
        <f t="shared" si="20"/>
        <v>Dark</v>
      </c>
      <c r="P390" t="str">
        <f>_xlfn.XLOOKUP(Table1[[#This Row],[Customer ID]],customers!$A$2:$A$1001,customers!$I$2:$I$1001,,0)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Librica</v>
      </c>
      <c r="O391" t="str">
        <f t="shared" si="20"/>
        <v>Dark</v>
      </c>
      <c r="P391" t="str">
        <f>_xlfn.XLOOKUP(Table1[[#This Row],[Customer ID]],customers!$A$2:$A$1001,customers!$I$2:$I$1001,,0)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ID]],customers!$A$2:$A$1001,customers!$I$2:$I$1001,,0)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ID]],customers!$A$2:$A$1001,customers!$I$2:$I$1001,,0)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ID]],customers!$A$2:$A$1001,customers!$I$2:$I$1001,,0)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ID]],customers!$A$2:$A$1001,customers!$I$2:$I$1001,,0)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ID]],customers!$A$2:$A$1001,customers!$I$2:$I$1001,,0)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Librica</v>
      </c>
      <c r="O397" t="str">
        <f t="shared" si="20"/>
        <v>Dark</v>
      </c>
      <c r="P397" t="str">
        <f>_xlfn.XLOOKUP(Table1[[#This Row],[Customer ID]],customers!$A$2:$A$1001,customers!$I$2:$I$1001,,0)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ID]],customers!$A$2:$A$1001,customers!$I$2:$I$1001,,0)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Librica</v>
      </c>
      <c r="O399" t="str">
        <f t="shared" si="20"/>
        <v>Dark</v>
      </c>
      <c r="P399" t="str">
        <f>_xlfn.XLOOKUP(Table1[[#This Row],[Customer ID]],customers!$A$2:$A$1001,customers!$I$2:$I$1001,,0)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ID]],customers!$A$2:$A$1001,customers!$I$2:$I$1001,,0)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ID]],customers!$A$2:$A$1001,customers!$I$2:$I$1001,,0)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Librica</v>
      </c>
      <c r="O402" t="str">
        <f t="shared" si="20"/>
        <v>Light</v>
      </c>
      <c r="P402" t="str">
        <f>_xlfn.XLOOKUP(Table1[[#This Row],[Customer ID]],customers!$A$2:$A$1001,customers!$I$2:$I$1001,,0)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Librica</v>
      </c>
      <c r="O403" t="str">
        <f t="shared" si="20"/>
        <v>Medium</v>
      </c>
      <c r="P403" t="str">
        <f>_xlfn.XLOOKUP(Table1[[#This Row],[Customer ID]],customers!$A$2:$A$1001,customers!$I$2:$I$1001,,0)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ID]],customers!$A$2:$A$1001,customers!$I$2:$I$1001,,0)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Librica</v>
      </c>
      <c r="O405" t="str">
        <f t="shared" si="20"/>
        <v>Light</v>
      </c>
      <c r="P405" t="str">
        <f>_xlfn.XLOOKUP(Table1[[#This Row],[Customer ID]],customers!$A$2:$A$1001,customers!$I$2:$I$1001,,0)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ID]],customers!$A$2:$A$1001,customers!$I$2:$I$1001,,0)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ID]],customers!$A$2:$A$1001,customers!$I$2:$I$1001,,0)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ID]],customers!$A$2:$A$1001,customers!$I$2:$I$1001,,0)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ID]],customers!$A$2:$A$1001,customers!$I$2:$I$1001,,0)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ID]],customers!$A$2:$A$1001,customers!$I$2:$I$1001,,0)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Librica</v>
      </c>
      <c r="O411" t="str">
        <f t="shared" si="20"/>
        <v>Light</v>
      </c>
      <c r="P411" t="str">
        <f>_xlfn.XLOOKUP(Table1[[#This Row],[Customer ID]],customers!$A$2:$A$1001,customers!$I$2:$I$1001,,0)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ID]],customers!$A$2:$A$1001,customers!$I$2:$I$1001,,0)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Librica</v>
      </c>
      <c r="O413" t="str">
        <f t="shared" si="20"/>
        <v>Medium</v>
      </c>
      <c r="P413" t="str">
        <f>_xlfn.XLOOKUP(Table1[[#This Row],[Customer ID]],customers!$A$2:$A$1001,customers!$I$2:$I$1001,,0)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ID]],customers!$A$2:$A$1001,customers!$I$2:$I$1001,,0)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Librica</v>
      </c>
      <c r="O415" t="str">
        <f t="shared" si="20"/>
        <v>Light</v>
      </c>
      <c r="P415" t="str">
        <f>_xlfn.XLOOKUP(Table1[[#This Row],[Customer ID]],customers!$A$2:$A$1001,customers!$I$2:$I$1001,,0)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ID]],customers!$A$2:$A$1001,customers!$I$2:$I$1001,,0)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ID]],customers!$A$2:$A$1001,customers!$I$2:$I$1001,,0)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ID]],customers!$A$2:$A$1001,customers!$I$2:$I$1001,,0)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ID]],customers!$A$2:$A$1001,customers!$I$2:$I$1001,,0)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ID]],customers!$A$2:$A$1001,customers!$I$2:$I$1001,,0)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Librica</v>
      </c>
      <c r="O421" t="str">
        <f t="shared" si="20"/>
        <v>Medium</v>
      </c>
      <c r="P421" t="str">
        <f>_xlfn.XLOOKUP(Table1[[#This Row],[Customer ID]],customers!$A$2:$A$1001,customers!$I$2:$I$1001,,0)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Librica</v>
      </c>
      <c r="O422" t="str">
        <f t="shared" si="20"/>
        <v>Dark</v>
      </c>
      <c r="P422" t="str">
        <f>_xlfn.XLOOKUP(Table1[[#This Row],[Customer ID]],customers!$A$2:$A$1001,customers!$I$2:$I$1001,,0)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ID]],customers!$A$2:$A$1001,customers!$I$2:$I$1001,,0)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ID]],customers!$A$2:$A$1001,customers!$I$2:$I$1001,,0)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ID]],customers!$A$2:$A$1001,customers!$I$2:$I$1001,,0)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ID]],customers!$A$2:$A$1001,customers!$I$2:$I$1001,,0)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ID]],customers!$A$2:$A$1001,customers!$I$2:$I$1001,,0)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ID]],customers!$A$2:$A$1001,customers!$I$2:$I$1001,,0)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ID]],customers!$A$2:$A$1001,customers!$I$2:$I$1001,,0)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ID]],customers!$A$2:$A$1001,customers!$I$2:$I$1001,,0)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ID]],customers!$A$2:$A$1001,customers!$I$2:$I$1001,,0)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ID]],customers!$A$2:$A$1001,customers!$I$2:$I$1001,,0)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ID]],customers!$A$2:$A$1001,customers!$I$2:$I$1001,,0)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ID]],customers!$A$2:$A$1001,customers!$I$2:$I$1001,,0)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Librica</v>
      </c>
      <c r="O435" t="str">
        <f t="shared" si="20"/>
        <v>Medium</v>
      </c>
      <c r="P435" t="str">
        <f>_xlfn.XLOOKUP(Table1[[#This Row],[Customer ID]],customers!$A$2:$A$1001,customers!$I$2:$I$1001,,0)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ID]],customers!$A$2:$A$1001,customers!$I$2:$I$1001,,0)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ID]],customers!$A$2:$A$1001,customers!$I$2:$I$1001,,0)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Librica</v>
      </c>
      <c r="O438" t="str">
        <f t="shared" si="20"/>
        <v>Light</v>
      </c>
      <c r="P438" t="str">
        <f>_xlfn.XLOOKUP(Table1[[#This Row],[Customer ID]],customers!$A$2:$A$1001,customers!$I$2:$I$1001,,0)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Librica</v>
      </c>
      <c r="O439" t="str">
        <f t="shared" si="20"/>
        <v>Dark</v>
      </c>
      <c r="P439" t="str">
        <f>_xlfn.XLOOKUP(Table1[[#This Row],[Customer ID]],customers!$A$2:$A$1001,customers!$I$2:$I$1001,,0)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Librica</v>
      </c>
      <c r="O440" t="str">
        <f t="shared" si="20"/>
        <v>Dark</v>
      </c>
      <c r="P440" t="str">
        <f>_xlfn.XLOOKUP(Table1[[#This Row],[Customer ID]],customers!$A$2:$A$1001,customers!$I$2:$I$1001,,0)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ID]],customers!$A$2:$A$1001,customers!$I$2:$I$1001,,0)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ID]],customers!$A$2:$A$1001,customers!$I$2:$I$1001,,0)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ID]],customers!$A$2:$A$1001,customers!$I$2:$I$1001,,0)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ID]],customers!$A$2:$A$1001,customers!$I$2:$I$1001,,0)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ID]],customers!$A$2:$A$1001,customers!$I$2:$I$1001,,0)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ID]],customers!$A$2:$A$1001,customers!$I$2:$I$1001,,0)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Librica</v>
      </c>
      <c r="O447" t="str">
        <f t="shared" si="20"/>
        <v>Medium</v>
      </c>
      <c r="P447" t="str">
        <f>_xlfn.XLOOKUP(Table1[[#This Row],[Customer ID]],customers!$A$2:$A$1001,customers!$I$2:$I$1001,,0)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Librica</v>
      </c>
      <c r="O448" t="str">
        <f t="shared" si="20"/>
        <v>Medium</v>
      </c>
      <c r="P448" t="str">
        <f>_xlfn.XLOOKUP(Table1[[#This Row],[Customer ID]],customers!$A$2:$A$1001,customers!$I$2:$I$1001,,0)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ID]],customers!$A$2:$A$1001,customers!$I$2:$I$1001,,0)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ID]],customers!$A$2:$A$1001,customers!$I$2:$I$1001,,0)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IF(I451="Rob","Robusta",IF(I451="Exc","Excelsa",IF(I451="Ara","Arabica",IF(I451="Lib","Librica",""))))</f>
        <v>Robusta</v>
      </c>
      <c r="O451" t="str">
        <f t="shared" ref="O451:O514" si="23">IF(J451="M","Medium",IF(J451="L","Light",IF(J451="D","Dark","")))</f>
        <v>Dark</v>
      </c>
      <c r="P451" t="str">
        <f>_xlfn.XLOOKUP(Table1[[#This Row],[Customer ID]],customers!$A$2:$A$1001,customers!$I$2:$I$1001,,0)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Librica</v>
      </c>
      <c r="O452" t="str">
        <f t="shared" si="23"/>
        <v>Light</v>
      </c>
      <c r="P452" t="str">
        <f>_xlfn.XLOOKUP(Table1[[#This Row],[Customer ID]],customers!$A$2:$A$1001,customers!$I$2:$I$1001,,0)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ID]],customers!$A$2:$A$1001,customers!$I$2:$I$1001,,0)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ID]],customers!$A$2:$A$1001,customers!$I$2:$I$1001,,0)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Librica</v>
      </c>
      <c r="O455" t="str">
        <f t="shared" si="23"/>
        <v>Light</v>
      </c>
      <c r="P455" t="str">
        <f>_xlfn.XLOOKUP(Table1[[#This Row],[Customer ID]],customers!$A$2:$A$1001,customers!$I$2:$I$1001,,0)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ID]],customers!$A$2:$A$1001,customers!$I$2:$I$1001,,0)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Librica</v>
      </c>
      <c r="O457" t="str">
        <f t="shared" si="23"/>
        <v>Light</v>
      </c>
      <c r="P457" t="str">
        <f>_xlfn.XLOOKUP(Table1[[#This Row],[Customer ID]],customers!$A$2:$A$1001,customers!$I$2:$I$1001,,0)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ID]],customers!$A$2:$A$1001,customers!$I$2:$I$1001,,0)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Librica</v>
      </c>
      <c r="O459" t="str">
        <f t="shared" si="23"/>
        <v>Light</v>
      </c>
      <c r="P459" t="str">
        <f>_xlfn.XLOOKUP(Table1[[#This Row],[Customer ID]],customers!$A$2:$A$1001,customers!$I$2:$I$1001,,0)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ID]],customers!$A$2:$A$1001,customers!$I$2:$I$1001,,0)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Librica</v>
      </c>
      <c r="O461" t="str">
        <f t="shared" si="23"/>
        <v>Light</v>
      </c>
      <c r="P461" t="str">
        <f>_xlfn.XLOOKUP(Table1[[#This Row],[Customer ID]],customers!$A$2:$A$1001,customers!$I$2:$I$1001,,0)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ID]],customers!$A$2:$A$1001,customers!$I$2:$I$1001,,0)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ID]],customers!$A$2:$A$1001,customers!$I$2:$I$1001,,0)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ID]],customers!$A$2:$A$1001,customers!$I$2:$I$1001,,0)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ID]],customers!$A$2:$A$1001,customers!$I$2:$I$1001,,0)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Librica</v>
      </c>
      <c r="O466" t="str">
        <f t="shared" si="23"/>
        <v>Dark</v>
      </c>
      <c r="P466" t="str">
        <f>_xlfn.XLOOKUP(Table1[[#This Row],[Customer ID]],customers!$A$2:$A$1001,customers!$I$2:$I$1001,,0)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ID]],customers!$A$2:$A$1001,customers!$I$2:$I$1001,,0)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ID]],customers!$A$2:$A$1001,customers!$I$2:$I$1001,,0)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ID]],customers!$A$2:$A$1001,customers!$I$2:$I$1001,,0)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ID]],customers!$A$2:$A$1001,customers!$I$2:$I$1001,,0)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ID]],customers!$A$2:$A$1001,customers!$I$2:$I$1001,,0)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ID]],customers!$A$2:$A$1001,customers!$I$2:$I$1001,,0)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Librica</v>
      </c>
      <c r="O473" t="str">
        <f t="shared" si="23"/>
        <v>Medium</v>
      </c>
      <c r="P473" t="str">
        <f>_xlfn.XLOOKUP(Table1[[#This Row],[Customer ID]],customers!$A$2:$A$1001,customers!$I$2:$I$1001,,0)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ID]],customers!$A$2:$A$1001,customers!$I$2:$I$1001,,0)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ID]],customers!$A$2:$A$1001,customers!$I$2:$I$1001,,0)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ID]],customers!$A$2:$A$1001,customers!$I$2:$I$1001,,0)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Librica</v>
      </c>
      <c r="O477" t="str">
        <f t="shared" si="23"/>
        <v>Medium</v>
      </c>
      <c r="P477" t="str">
        <f>_xlfn.XLOOKUP(Table1[[#This Row],[Customer ID]],customers!$A$2:$A$1001,customers!$I$2:$I$1001,,0)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ID]],customers!$A$2:$A$1001,customers!$I$2:$I$1001,,0)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Librica</v>
      </c>
      <c r="O479" t="str">
        <f t="shared" si="23"/>
        <v>Medium</v>
      </c>
      <c r="P479" t="str">
        <f>_xlfn.XLOOKUP(Table1[[#This Row],[Customer ID]],customers!$A$2:$A$1001,customers!$I$2:$I$1001,,0)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ID]],customers!$A$2:$A$1001,customers!$I$2:$I$1001,,0)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ID]],customers!$A$2:$A$1001,customers!$I$2:$I$1001,,0)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ID]],customers!$A$2:$A$1001,customers!$I$2:$I$1001,,0)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ID]],customers!$A$2:$A$1001,customers!$I$2:$I$1001,,0)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ID]],customers!$A$2:$A$1001,customers!$I$2:$I$1001,,0)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Librica</v>
      </c>
      <c r="O485" t="str">
        <f t="shared" si="23"/>
        <v>Dark</v>
      </c>
      <c r="P485" t="str">
        <f>_xlfn.XLOOKUP(Table1[[#This Row],[Customer ID]],customers!$A$2:$A$1001,customers!$I$2:$I$1001,,0)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Librica</v>
      </c>
      <c r="O486" t="str">
        <f t="shared" si="23"/>
        <v>Light</v>
      </c>
      <c r="P486" t="str">
        <f>_xlfn.XLOOKUP(Table1[[#This Row],[Customer ID]],customers!$A$2:$A$1001,customers!$I$2:$I$1001,,0)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ID]],customers!$A$2:$A$1001,customers!$I$2:$I$1001,,0)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Librica</v>
      </c>
      <c r="O488" t="str">
        <f t="shared" si="23"/>
        <v>Medium</v>
      </c>
      <c r="P488" t="str">
        <f>_xlfn.XLOOKUP(Table1[[#This Row],[Customer ID]],customers!$A$2:$A$1001,customers!$I$2:$I$1001,,0)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ID]],customers!$A$2:$A$1001,customers!$I$2:$I$1001,,0)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ID]],customers!$A$2:$A$1001,customers!$I$2:$I$1001,,0)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Librica</v>
      </c>
      <c r="O491" t="str">
        <f t="shared" si="23"/>
        <v>Light</v>
      </c>
      <c r="P491" t="str">
        <f>_xlfn.XLOOKUP(Table1[[#This Row],[Customer ID]],customers!$A$2:$A$1001,customers!$I$2:$I$1001,,0)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Librica</v>
      </c>
      <c r="O492" t="str">
        <f t="shared" si="23"/>
        <v>Dark</v>
      </c>
      <c r="P492" t="str">
        <f>_xlfn.XLOOKUP(Table1[[#This Row],[Customer ID]],customers!$A$2:$A$1001,customers!$I$2:$I$1001,,0)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Librica</v>
      </c>
      <c r="O493" t="str">
        <f t="shared" si="23"/>
        <v>Dark</v>
      </c>
      <c r="P493" t="str">
        <f>_xlfn.XLOOKUP(Table1[[#This Row],[Customer ID]],customers!$A$2:$A$1001,customers!$I$2:$I$1001,,0)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ID]],customers!$A$2:$A$1001,customers!$I$2:$I$1001,,0)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ID]],customers!$A$2:$A$1001,customers!$I$2:$I$1001,,0)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Librica</v>
      </c>
      <c r="O496" t="str">
        <f t="shared" si="23"/>
        <v>Light</v>
      </c>
      <c r="P496" t="str">
        <f>_xlfn.XLOOKUP(Table1[[#This Row],[Customer ID]],customers!$A$2:$A$1001,customers!$I$2:$I$1001,,0)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Librica</v>
      </c>
      <c r="O497" t="str">
        <f t="shared" si="23"/>
        <v>Light</v>
      </c>
      <c r="P497" t="str">
        <f>_xlfn.XLOOKUP(Table1[[#This Row],[Customer ID]],customers!$A$2:$A$1001,customers!$I$2:$I$1001,,0)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ID]],customers!$A$2:$A$1001,customers!$I$2:$I$1001,,0)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ID]],customers!$A$2:$A$1001,customers!$I$2:$I$1001,,0)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ID]],customers!$A$2:$A$1001,customers!$I$2:$I$1001,,0)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ID]],customers!$A$2:$A$1001,customers!$I$2:$I$1001,,0)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ID]],customers!$A$2:$A$1001,customers!$I$2:$I$1001,,0)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ID]],customers!$A$2:$A$1001,customers!$I$2:$I$1001,,0)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ID]],customers!$A$2:$A$1001,customers!$I$2:$I$1001,,0)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Librica</v>
      </c>
      <c r="O505" t="str">
        <f t="shared" si="23"/>
        <v>Dark</v>
      </c>
      <c r="P505" t="str">
        <f>_xlfn.XLOOKUP(Table1[[#This Row],[Customer ID]],customers!$A$2:$A$1001,customers!$I$2:$I$1001,,0)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Librica</v>
      </c>
      <c r="O506" t="str">
        <f t="shared" si="23"/>
        <v>Light</v>
      </c>
      <c r="P506" t="str">
        <f>_xlfn.XLOOKUP(Table1[[#This Row],[Customer ID]],customers!$A$2:$A$1001,customers!$I$2:$I$1001,,0)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Librica</v>
      </c>
      <c r="O507" t="str">
        <f t="shared" si="23"/>
        <v>Medium</v>
      </c>
      <c r="P507" t="str">
        <f>_xlfn.XLOOKUP(Table1[[#This Row],[Customer ID]],customers!$A$2:$A$1001,customers!$I$2:$I$1001,,0)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ID]],customers!$A$2:$A$1001,customers!$I$2:$I$1001,,0)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ID]],customers!$A$2:$A$1001,customers!$I$2:$I$1001,,0)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Librica</v>
      </c>
      <c r="O510" t="str">
        <f t="shared" si="23"/>
        <v>Dark</v>
      </c>
      <c r="P510" t="str">
        <f>_xlfn.XLOOKUP(Table1[[#This Row],[Customer ID]],customers!$A$2:$A$1001,customers!$I$2:$I$1001,,0)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ID]],customers!$A$2:$A$1001,customers!$I$2:$I$1001,,0)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ID]],customers!$A$2:$A$1001,customers!$I$2:$I$1001,,0)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ID]],customers!$A$2:$A$1001,customers!$I$2:$I$1001,,0)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Librica</v>
      </c>
      <c r="O514" t="str">
        <f t="shared" si="23"/>
        <v>Light</v>
      </c>
      <c r="P514" t="str">
        <f>_xlfn.XLOOKUP(Table1[[#This Row],[Customer ID]],customers!$A$2:$A$1001,customers!$I$2:$I$1001,,0)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IF(I515="Rob","Robusta",IF(I515="Exc","Excelsa",IF(I515="Ara","Arabica",IF(I515="Lib","Librica",""))))</f>
        <v>Librica</v>
      </c>
      <c r="O515" t="str">
        <f t="shared" ref="O515:O578" si="26">IF(J515="M","Medium",IF(J515="L","Light",IF(J515="D","Dark","")))</f>
        <v>Light</v>
      </c>
      <c r="P515" t="str">
        <f>_xlfn.XLOOKUP(Table1[[#This Row],[Customer ID]],customers!$A$2:$A$1001,customers!$I$2:$I$1001,,0)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Librica</v>
      </c>
      <c r="O516" t="str">
        <f t="shared" si="26"/>
        <v>Medium</v>
      </c>
      <c r="P516" t="str">
        <f>_xlfn.XLOOKUP(Table1[[#This Row],[Customer ID]],customers!$A$2:$A$1001,customers!$I$2:$I$1001,,0)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ID]],customers!$A$2:$A$1001,customers!$I$2:$I$1001,,0)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ID]],customers!$A$2:$A$1001,customers!$I$2:$I$1001,,0)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Librica</v>
      </c>
      <c r="O519" t="str">
        <f t="shared" si="26"/>
        <v>Dark</v>
      </c>
      <c r="P519" t="str">
        <f>_xlfn.XLOOKUP(Table1[[#This Row],[Customer ID]],customers!$A$2:$A$1001,customers!$I$2:$I$1001,,0)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ID]],customers!$A$2:$A$1001,customers!$I$2:$I$1001,,0)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ID]],customers!$A$2:$A$1001,customers!$I$2:$I$1001,,0)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Librica</v>
      </c>
      <c r="O522" t="str">
        <f t="shared" si="26"/>
        <v>Dark</v>
      </c>
      <c r="P522" t="str">
        <f>_xlfn.XLOOKUP(Table1[[#This Row],[Customer ID]],customers!$A$2:$A$1001,customers!$I$2:$I$1001,,0)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ID]],customers!$A$2:$A$1001,customers!$I$2:$I$1001,,0)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ID]],customers!$A$2:$A$1001,customers!$I$2:$I$1001,,0)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Librica</v>
      </c>
      <c r="O525" t="str">
        <f t="shared" si="26"/>
        <v>Dark</v>
      </c>
      <c r="P525" t="str">
        <f>_xlfn.XLOOKUP(Table1[[#This Row],[Customer ID]],customers!$A$2:$A$1001,customers!$I$2:$I$1001,,0)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Librica</v>
      </c>
      <c r="O526" t="str">
        <f t="shared" si="26"/>
        <v>Light</v>
      </c>
      <c r="P526" t="str">
        <f>_xlfn.XLOOKUP(Table1[[#This Row],[Customer ID]],customers!$A$2:$A$1001,customers!$I$2:$I$1001,,0)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ID]],customers!$A$2:$A$1001,customers!$I$2:$I$1001,,0)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ID]],customers!$A$2:$A$1001,customers!$I$2:$I$1001,,0)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ID]],customers!$A$2:$A$1001,customers!$I$2:$I$1001,,0)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ID]],customers!$A$2:$A$1001,customers!$I$2:$I$1001,,0)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ID]],customers!$A$2:$A$1001,customers!$I$2:$I$1001,,0)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ID]],customers!$A$2:$A$1001,customers!$I$2:$I$1001,,0)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ID]],customers!$A$2:$A$1001,customers!$I$2:$I$1001,,0)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ID]],customers!$A$2:$A$1001,customers!$I$2:$I$1001,,0)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ID]],customers!$A$2:$A$1001,customers!$I$2:$I$1001,,0)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ID]],customers!$A$2:$A$1001,customers!$I$2:$I$1001,,0)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Librica</v>
      </c>
      <c r="O537" t="str">
        <f t="shared" si="26"/>
        <v>Light</v>
      </c>
      <c r="P537" t="str">
        <f>_xlfn.XLOOKUP(Table1[[#This Row],[Customer ID]],customers!$A$2:$A$1001,customers!$I$2:$I$1001,,0)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ID]],customers!$A$2:$A$1001,customers!$I$2:$I$1001,,0)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ID]],customers!$A$2:$A$1001,customers!$I$2:$I$1001,,0)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ID]],customers!$A$2:$A$1001,customers!$I$2:$I$1001,,0)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ID]],customers!$A$2:$A$1001,customers!$I$2:$I$1001,,0)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Librica</v>
      </c>
      <c r="O542" t="str">
        <f t="shared" si="26"/>
        <v>Light</v>
      </c>
      <c r="P542" t="str">
        <f>_xlfn.XLOOKUP(Table1[[#This Row],[Customer ID]],customers!$A$2:$A$1001,customers!$I$2:$I$1001,,0)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ID]],customers!$A$2:$A$1001,customers!$I$2:$I$1001,,0)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ID]],customers!$A$2:$A$1001,customers!$I$2:$I$1001,,0)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ID]],customers!$A$2:$A$1001,customers!$I$2:$I$1001,,0)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ID]],customers!$A$2:$A$1001,customers!$I$2:$I$1001,,0)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Librica</v>
      </c>
      <c r="O547" t="str">
        <f t="shared" si="26"/>
        <v>Dark</v>
      </c>
      <c r="P547" t="str">
        <f>_xlfn.XLOOKUP(Table1[[#This Row],[Customer ID]],customers!$A$2:$A$1001,customers!$I$2:$I$1001,,0)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ID]],customers!$A$2:$A$1001,customers!$I$2:$I$1001,,0)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ID]],customers!$A$2:$A$1001,customers!$I$2:$I$1001,,0)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ID]],customers!$A$2:$A$1001,customers!$I$2:$I$1001,,0)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ID]],customers!$A$2:$A$1001,customers!$I$2:$I$1001,,0)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Librica</v>
      </c>
      <c r="O552" t="str">
        <f t="shared" si="26"/>
        <v>Dark</v>
      </c>
      <c r="P552" t="str">
        <f>_xlfn.XLOOKUP(Table1[[#This Row],[Customer ID]],customers!$A$2:$A$1001,customers!$I$2:$I$1001,,0)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ID]],customers!$A$2:$A$1001,customers!$I$2:$I$1001,,0)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ID]],customers!$A$2:$A$1001,customers!$I$2:$I$1001,,0)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ID]],customers!$A$2:$A$1001,customers!$I$2:$I$1001,,0)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ID]],customers!$A$2:$A$1001,customers!$I$2:$I$1001,,0)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ID]],customers!$A$2:$A$1001,customers!$I$2:$I$1001,,0)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Librica</v>
      </c>
      <c r="O558" t="str">
        <f t="shared" si="26"/>
        <v>Medium</v>
      </c>
      <c r="P558" t="str">
        <f>_xlfn.XLOOKUP(Table1[[#This Row],[Customer ID]],customers!$A$2:$A$1001,customers!$I$2:$I$1001,,0)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ID]],customers!$A$2:$A$1001,customers!$I$2:$I$1001,,0)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Librica</v>
      </c>
      <c r="O560" t="str">
        <f t="shared" si="26"/>
        <v>Dark</v>
      </c>
      <c r="P560" t="str">
        <f>_xlfn.XLOOKUP(Table1[[#This Row],[Customer ID]],customers!$A$2:$A$1001,customers!$I$2:$I$1001,,0)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ID]],customers!$A$2:$A$1001,customers!$I$2:$I$1001,,0)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ID]],customers!$A$2:$A$1001,customers!$I$2:$I$1001,,0)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ID]],customers!$A$2:$A$1001,customers!$I$2:$I$1001,,0)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Librica</v>
      </c>
      <c r="O564" t="str">
        <f t="shared" si="26"/>
        <v>Light</v>
      </c>
      <c r="P564" t="str">
        <f>_xlfn.XLOOKUP(Table1[[#This Row],[Customer ID]],customers!$A$2:$A$1001,customers!$I$2:$I$1001,,0)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ID]],customers!$A$2:$A$1001,customers!$I$2:$I$1001,,0)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ID]],customers!$A$2:$A$1001,customers!$I$2:$I$1001,,0)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ID]],customers!$A$2:$A$1001,customers!$I$2:$I$1001,,0)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ID]],customers!$A$2:$A$1001,customers!$I$2:$I$1001,,0)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ID]],customers!$A$2:$A$1001,customers!$I$2:$I$1001,,0)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Librica</v>
      </c>
      <c r="O570" t="str">
        <f t="shared" si="26"/>
        <v>Light</v>
      </c>
      <c r="P570" t="str">
        <f>_xlfn.XLOOKUP(Table1[[#This Row],[Customer ID]],customers!$A$2:$A$1001,customers!$I$2:$I$1001,,0)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ID]],customers!$A$2:$A$1001,customers!$I$2:$I$1001,,0)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ID]],customers!$A$2:$A$1001,customers!$I$2:$I$1001,,0)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ID]],customers!$A$2:$A$1001,customers!$I$2:$I$1001,,0)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ID]],customers!$A$2:$A$1001,customers!$I$2:$I$1001,,0)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ID]],customers!$A$2:$A$1001,customers!$I$2:$I$1001,,0)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ID]],customers!$A$2:$A$1001,customers!$I$2:$I$1001,,0)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Librica</v>
      </c>
      <c r="O577" t="str">
        <f t="shared" si="26"/>
        <v>Medium</v>
      </c>
      <c r="P577" t="str">
        <f>_xlfn.XLOOKUP(Table1[[#This Row],[Customer ID]],customers!$A$2:$A$1001,customers!$I$2:$I$1001,,0)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ID]],customers!$A$2:$A$1001,customers!$I$2:$I$1001,,0)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IF(I579="Rob","Robusta",IF(I579="Exc","Excelsa",IF(I579="Ara","Arabica",IF(I579="Lib","Librica",""))))</f>
        <v>Librica</v>
      </c>
      <c r="O579" t="str">
        <f t="shared" ref="O579:O642" si="29">IF(J579="M","Medium",IF(J579="L","Light",IF(J579="D","Dark","")))</f>
        <v>Medium</v>
      </c>
      <c r="P579" t="str">
        <f>_xlfn.XLOOKUP(Table1[[#This Row],[Customer ID]],customers!$A$2:$A$1001,customers!$I$2:$I$1001,,0)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ID]],customers!$A$2:$A$1001,customers!$I$2:$I$1001,,0)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ID]],customers!$A$2:$A$1001,customers!$I$2:$I$1001,,0)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ID]],customers!$A$2:$A$1001,customers!$I$2:$I$1001,,0)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ID]],customers!$A$2:$A$1001,customers!$I$2:$I$1001,,0)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ID]],customers!$A$2:$A$1001,customers!$I$2:$I$1001,,0)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ID]],customers!$A$2:$A$1001,customers!$I$2:$I$1001,,0)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ID]],customers!$A$2:$A$1001,customers!$I$2:$I$1001,,0)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ID]],customers!$A$2:$A$1001,customers!$I$2:$I$1001,,0)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ID]],customers!$A$2:$A$1001,customers!$I$2:$I$1001,,0)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Librica</v>
      </c>
      <c r="O589" t="str">
        <f t="shared" si="29"/>
        <v>Dark</v>
      </c>
      <c r="P589" t="str">
        <f>_xlfn.XLOOKUP(Table1[[#This Row],[Customer ID]],customers!$A$2:$A$1001,customers!$I$2:$I$1001,,0)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ID]],customers!$A$2:$A$1001,customers!$I$2:$I$1001,,0)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ID]],customers!$A$2:$A$1001,customers!$I$2:$I$1001,,0)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ID]],customers!$A$2:$A$1001,customers!$I$2:$I$1001,,0)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ID]],customers!$A$2:$A$1001,customers!$I$2:$I$1001,,0)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ID]],customers!$A$2:$A$1001,customers!$I$2:$I$1001,,0)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ID]],customers!$A$2:$A$1001,customers!$I$2:$I$1001,,0)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ID]],customers!$A$2:$A$1001,customers!$I$2:$I$1001,,0)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ID]],customers!$A$2:$A$1001,customers!$I$2:$I$1001,,0)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ID]],customers!$A$2:$A$1001,customers!$I$2:$I$1001,,0)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Librica</v>
      </c>
      <c r="O599" t="str">
        <f t="shared" si="29"/>
        <v>Light</v>
      </c>
      <c r="P599" t="str">
        <f>_xlfn.XLOOKUP(Table1[[#This Row],[Customer ID]],customers!$A$2:$A$1001,customers!$I$2:$I$1001,,0)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ID]],customers!$A$2:$A$1001,customers!$I$2:$I$1001,,0)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ID]],customers!$A$2:$A$1001,customers!$I$2:$I$1001,,0)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Librica</v>
      </c>
      <c r="O602" t="str">
        <f t="shared" si="29"/>
        <v>Dark</v>
      </c>
      <c r="P602" t="str">
        <f>_xlfn.XLOOKUP(Table1[[#This Row],[Customer ID]],customers!$A$2:$A$1001,customers!$I$2:$I$1001,,0)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ID]],customers!$A$2:$A$1001,customers!$I$2:$I$1001,,0)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ID]],customers!$A$2:$A$1001,customers!$I$2:$I$1001,,0)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ID]],customers!$A$2:$A$1001,customers!$I$2:$I$1001,,0)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Librica</v>
      </c>
      <c r="O606" t="str">
        <f t="shared" si="29"/>
        <v>Dark</v>
      </c>
      <c r="P606" t="str">
        <f>_xlfn.XLOOKUP(Table1[[#This Row],[Customer ID]],customers!$A$2:$A$1001,customers!$I$2:$I$1001,,0)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ID]],customers!$A$2:$A$1001,customers!$I$2:$I$1001,,0)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Librica</v>
      </c>
      <c r="O608" t="str">
        <f t="shared" si="29"/>
        <v>Light</v>
      </c>
      <c r="P608" t="str">
        <f>_xlfn.XLOOKUP(Table1[[#This Row],[Customer ID]],customers!$A$2:$A$1001,customers!$I$2:$I$1001,,0)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ID]],customers!$A$2:$A$1001,customers!$I$2:$I$1001,,0)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ID]],customers!$A$2:$A$1001,customers!$I$2:$I$1001,,0)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Librica</v>
      </c>
      <c r="O611" t="str">
        <f t="shared" si="29"/>
        <v>Medium</v>
      </c>
      <c r="P611" t="str">
        <f>_xlfn.XLOOKUP(Table1[[#This Row],[Customer ID]],customers!$A$2:$A$1001,customers!$I$2:$I$1001,,0)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ID]],customers!$A$2:$A$1001,customers!$I$2:$I$1001,,0)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ID]],customers!$A$2:$A$1001,customers!$I$2:$I$1001,,0)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ID]],customers!$A$2:$A$1001,customers!$I$2:$I$1001,,0)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ID]],customers!$A$2:$A$1001,customers!$I$2:$I$1001,,0)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ID]],customers!$A$2:$A$1001,customers!$I$2:$I$1001,,0)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Librica</v>
      </c>
      <c r="O617" t="str">
        <f t="shared" si="29"/>
        <v>Light</v>
      </c>
      <c r="P617" t="str">
        <f>_xlfn.XLOOKUP(Table1[[#This Row],[Customer ID]],customers!$A$2:$A$1001,customers!$I$2:$I$1001,,0)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ID]],customers!$A$2:$A$1001,customers!$I$2:$I$1001,,0)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Librica</v>
      </c>
      <c r="O619" t="str">
        <f t="shared" si="29"/>
        <v>Medium</v>
      </c>
      <c r="P619" t="str">
        <f>_xlfn.XLOOKUP(Table1[[#This Row],[Customer ID]],customers!$A$2:$A$1001,customers!$I$2:$I$1001,,0)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ID]],customers!$A$2:$A$1001,customers!$I$2:$I$1001,,0)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Librica</v>
      </c>
      <c r="O621" t="str">
        <f t="shared" si="29"/>
        <v>Dark</v>
      </c>
      <c r="P621" t="str">
        <f>_xlfn.XLOOKUP(Table1[[#This Row],[Customer ID]],customers!$A$2:$A$1001,customers!$I$2:$I$1001,,0)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ID]],customers!$A$2:$A$1001,customers!$I$2:$I$1001,,0)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ID]],customers!$A$2:$A$1001,customers!$I$2:$I$1001,,0)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Librica</v>
      </c>
      <c r="O624" t="str">
        <f t="shared" si="29"/>
        <v>Medium</v>
      </c>
      <c r="P624" t="str">
        <f>_xlfn.XLOOKUP(Table1[[#This Row],[Customer ID]],customers!$A$2:$A$1001,customers!$I$2:$I$1001,,0)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ID]],customers!$A$2:$A$1001,customers!$I$2:$I$1001,,0)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ID]],customers!$A$2:$A$1001,customers!$I$2:$I$1001,,0)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ID]],customers!$A$2:$A$1001,customers!$I$2:$I$1001,,0)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ID]],customers!$A$2:$A$1001,customers!$I$2:$I$1001,,0)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ID]],customers!$A$2:$A$1001,customers!$I$2:$I$1001,,0)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ID]],customers!$A$2:$A$1001,customers!$I$2:$I$1001,,0)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Librica</v>
      </c>
      <c r="O631" t="str">
        <f t="shared" si="29"/>
        <v>Dark</v>
      </c>
      <c r="P631" t="str">
        <f>_xlfn.XLOOKUP(Table1[[#This Row],[Customer ID]],customers!$A$2:$A$1001,customers!$I$2:$I$1001,,0)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ID]],customers!$A$2:$A$1001,customers!$I$2:$I$1001,,0)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ID]],customers!$A$2:$A$1001,customers!$I$2:$I$1001,,0)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ID]],customers!$A$2:$A$1001,customers!$I$2:$I$1001,,0)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ID]],customers!$A$2:$A$1001,customers!$I$2:$I$1001,,0)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Librica</v>
      </c>
      <c r="O636" t="str">
        <f t="shared" si="29"/>
        <v>Medium</v>
      </c>
      <c r="P636" t="str">
        <f>_xlfn.XLOOKUP(Table1[[#This Row],[Customer ID]],customers!$A$2:$A$1001,customers!$I$2:$I$1001,,0)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ID]],customers!$A$2:$A$1001,customers!$I$2:$I$1001,,0)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Librica</v>
      </c>
      <c r="O638" t="str">
        <f t="shared" si="29"/>
        <v>Light</v>
      </c>
      <c r="P638" t="str">
        <f>_xlfn.XLOOKUP(Table1[[#This Row],[Customer ID]],customers!$A$2:$A$1001,customers!$I$2:$I$1001,,0)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ID]],customers!$A$2:$A$1001,customers!$I$2:$I$1001,,0)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ID]],customers!$A$2:$A$1001,customers!$I$2:$I$1001,,0)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Librica</v>
      </c>
      <c r="O641" t="str">
        <f t="shared" si="29"/>
        <v>Dark</v>
      </c>
      <c r="P641" t="str">
        <f>_xlfn.XLOOKUP(Table1[[#This Row],[Customer ID]],customers!$A$2:$A$1001,customers!$I$2:$I$1001,,0)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ID]],customers!$A$2:$A$1001,customers!$I$2:$I$1001,,0)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IF(I643="Rob","Robusta",IF(I643="Exc","Excelsa",IF(I643="Ara","Arabica",IF(I643="Lib","Librica",""))))</f>
        <v>Robusta</v>
      </c>
      <c r="O643" t="str">
        <f t="shared" ref="O643:O706" si="32">IF(J643="M","Medium",IF(J643="L","Light",IF(J643="D","Dark","")))</f>
        <v>Light</v>
      </c>
      <c r="P643" t="str">
        <f>_xlfn.XLOOKUP(Table1[[#This Row],[Customer ID]],customers!$A$2:$A$1001,customers!$I$2:$I$1001,,0)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ID]],customers!$A$2:$A$1001,customers!$I$2:$I$1001,,0)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ID]],customers!$A$2:$A$1001,customers!$I$2:$I$1001,,0)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ID]],customers!$A$2:$A$1001,customers!$I$2:$I$1001,,0)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ID]],customers!$A$2:$A$1001,customers!$I$2:$I$1001,,0)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ID]],customers!$A$2:$A$1001,customers!$I$2:$I$1001,,0)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Librica</v>
      </c>
      <c r="O649" t="str">
        <f t="shared" si="32"/>
        <v>Light</v>
      </c>
      <c r="P649" t="str">
        <f>_xlfn.XLOOKUP(Table1[[#This Row],[Customer ID]],customers!$A$2:$A$1001,customers!$I$2:$I$1001,,0)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ID]],customers!$A$2:$A$1001,customers!$I$2:$I$1001,,0)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Librica</v>
      </c>
      <c r="O651" t="str">
        <f t="shared" si="32"/>
        <v>Light</v>
      </c>
      <c r="P651" t="str">
        <f>_xlfn.XLOOKUP(Table1[[#This Row],[Customer ID]],customers!$A$2:$A$1001,customers!$I$2:$I$1001,,0)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ID]],customers!$A$2:$A$1001,customers!$I$2:$I$1001,,0)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ID]],customers!$A$2:$A$1001,customers!$I$2:$I$1001,,0)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Librica</v>
      </c>
      <c r="O654" t="str">
        <f t="shared" si="32"/>
        <v>Light</v>
      </c>
      <c r="P654" t="str">
        <f>_xlfn.XLOOKUP(Table1[[#This Row],[Customer ID]],customers!$A$2:$A$1001,customers!$I$2:$I$1001,,0)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ID]],customers!$A$2:$A$1001,customers!$I$2:$I$1001,,0)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ID]],customers!$A$2:$A$1001,customers!$I$2:$I$1001,,0)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ID]],customers!$A$2:$A$1001,customers!$I$2:$I$1001,,0)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Librica</v>
      </c>
      <c r="O658" t="str">
        <f t="shared" si="32"/>
        <v>Dark</v>
      </c>
      <c r="P658" t="str">
        <f>_xlfn.XLOOKUP(Table1[[#This Row],[Customer ID]],customers!$A$2:$A$1001,customers!$I$2:$I$1001,,0)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ID]],customers!$A$2:$A$1001,customers!$I$2:$I$1001,,0)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ID]],customers!$A$2:$A$1001,customers!$I$2:$I$1001,,0)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ID]],customers!$A$2:$A$1001,customers!$I$2:$I$1001,,0)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ID]],customers!$A$2:$A$1001,customers!$I$2:$I$1001,,0)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ID]],customers!$A$2:$A$1001,customers!$I$2:$I$1001,,0)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Librica</v>
      </c>
      <c r="O664" t="str">
        <f t="shared" si="32"/>
        <v>Dark</v>
      </c>
      <c r="P664" t="str">
        <f>_xlfn.XLOOKUP(Table1[[#This Row],[Customer ID]],customers!$A$2:$A$1001,customers!$I$2:$I$1001,,0)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ID]],customers!$A$2:$A$1001,customers!$I$2:$I$1001,,0)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ID]],customers!$A$2:$A$1001,customers!$I$2:$I$1001,,0)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Librica</v>
      </c>
      <c r="O667" t="str">
        <f t="shared" si="32"/>
        <v>Dark</v>
      </c>
      <c r="P667" t="str">
        <f>_xlfn.XLOOKUP(Table1[[#This Row],[Customer ID]],customers!$A$2:$A$1001,customers!$I$2:$I$1001,,0)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ID]],customers!$A$2:$A$1001,customers!$I$2:$I$1001,,0)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ID]],customers!$A$2:$A$1001,customers!$I$2:$I$1001,,0)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ID]],customers!$A$2:$A$1001,customers!$I$2:$I$1001,,0)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Librica</v>
      </c>
      <c r="O671" t="str">
        <f t="shared" si="32"/>
        <v>Medium</v>
      </c>
      <c r="P671" t="str">
        <f>_xlfn.XLOOKUP(Table1[[#This Row],[Customer ID]],customers!$A$2:$A$1001,customers!$I$2:$I$1001,,0)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Librica</v>
      </c>
      <c r="O672" t="str">
        <f t="shared" si="32"/>
        <v>Medium</v>
      </c>
      <c r="P672" t="str">
        <f>_xlfn.XLOOKUP(Table1[[#This Row],[Customer ID]],customers!$A$2:$A$1001,customers!$I$2:$I$1001,,0)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ID]],customers!$A$2:$A$1001,customers!$I$2:$I$1001,,0)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Librica</v>
      </c>
      <c r="O674" t="str">
        <f t="shared" si="32"/>
        <v>Medium</v>
      </c>
      <c r="P674" t="str">
        <f>_xlfn.XLOOKUP(Table1[[#This Row],[Customer ID]],customers!$A$2:$A$1001,customers!$I$2:$I$1001,,0)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ID]],customers!$A$2:$A$1001,customers!$I$2:$I$1001,,0)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ID]],customers!$A$2:$A$1001,customers!$I$2:$I$1001,,0)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Librica</v>
      </c>
      <c r="O677" t="str">
        <f t="shared" si="32"/>
        <v>Dark</v>
      </c>
      <c r="P677" t="str">
        <f>_xlfn.XLOOKUP(Table1[[#This Row],[Customer ID]],customers!$A$2:$A$1001,customers!$I$2:$I$1001,,0)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Librica</v>
      </c>
      <c r="O678" t="str">
        <f t="shared" si="32"/>
        <v>Light</v>
      </c>
      <c r="P678" t="str">
        <f>_xlfn.XLOOKUP(Table1[[#This Row],[Customer ID]],customers!$A$2:$A$1001,customers!$I$2:$I$1001,,0)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Librica</v>
      </c>
      <c r="O679" t="str">
        <f t="shared" si="32"/>
        <v>Medium</v>
      </c>
      <c r="P679" t="str">
        <f>_xlfn.XLOOKUP(Table1[[#This Row],[Customer ID]],customers!$A$2:$A$1001,customers!$I$2:$I$1001,,0)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ID]],customers!$A$2:$A$1001,customers!$I$2:$I$1001,,0)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ID]],customers!$A$2:$A$1001,customers!$I$2:$I$1001,,0)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ID]],customers!$A$2:$A$1001,customers!$I$2:$I$1001,,0)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Librica</v>
      </c>
      <c r="O683" t="str">
        <f t="shared" si="32"/>
        <v>Light</v>
      </c>
      <c r="P683" t="str">
        <f>_xlfn.XLOOKUP(Table1[[#This Row],[Customer ID]],customers!$A$2:$A$1001,customers!$I$2:$I$1001,,0)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ID]],customers!$A$2:$A$1001,customers!$I$2:$I$1001,,0)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Librica</v>
      </c>
      <c r="O685" t="str">
        <f t="shared" si="32"/>
        <v>Dark</v>
      </c>
      <c r="P685" t="str">
        <f>_xlfn.XLOOKUP(Table1[[#This Row],[Customer ID]],customers!$A$2:$A$1001,customers!$I$2:$I$1001,,0)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ID]],customers!$A$2:$A$1001,customers!$I$2:$I$1001,,0)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Librica</v>
      </c>
      <c r="O687" t="str">
        <f t="shared" si="32"/>
        <v>Light</v>
      </c>
      <c r="P687" t="str">
        <f>_xlfn.XLOOKUP(Table1[[#This Row],[Customer ID]],customers!$A$2:$A$1001,customers!$I$2:$I$1001,,0)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ID]],customers!$A$2:$A$1001,customers!$I$2:$I$1001,,0)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ID]],customers!$A$2:$A$1001,customers!$I$2:$I$1001,,0)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ID]],customers!$A$2:$A$1001,customers!$I$2:$I$1001,,0)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ID]],customers!$A$2:$A$1001,customers!$I$2:$I$1001,,0)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Librica</v>
      </c>
      <c r="O692" t="str">
        <f t="shared" si="32"/>
        <v>Dark</v>
      </c>
      <c r="P692" t="str">
        <f>_xlfn.XLOOKUP(Table1[[#This Row],[Customer ID]],customers!$A$2:$A$1001,customers!$I$2:$I$1001,,0)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ID]],customers!$A$2:$A$1001,customers!$I$2:$I$1001,,0)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Librica</v>
      </c>
      <c r="O694" t="str">
        <f t="shared" si="32"/>
        <v>Dark</v>
      </c>
      <c r="P694" t="str">
        <f>_xlfn.XLOOKUP(Table1[[#This Row],[Customer ID]],customers!$A$2:$A$1001,customers!$I$2:$I$1001,,0)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ID]],customers!$A$2:$A$1001,customers!$I$2:$I$1001,,0)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ID]],customers!$A$2:$A$1001,customers!$I$2:$I$1001,,0)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Librica</v>
      </c>
      <c r="O697" t="str">
        <f t="shared" si="32"/>
        <v>Light</v>
      </c>
      <c r="P697" t="str">
        <f>_xlfn.XLOOKUP(Table1[[#This Row],[Customer ID]],customers!$A$2:$A$1001,customers!$I$2:$I$1001,,0)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Librica</v>
      </c>
      <c r="O698" t="str">
        <f t="shared" si="32"/>
        <v>Dark</v>
      </c>
      <c r="P698" t="str">
        <f>_xlfn.XLOOKUP(Table1[[#This Row],[Customer ID]],customers!$A$2:$A$1001,customers!$I$2:$I$1001,,0)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ID]],customers!$A$2:$A$1001,customers!$I$2:$I$1001,,0)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Librica</v>
      </c>
      <c r="O700" t="str">
        <f t="shared" si="32"/>
        <v>Dark</v>
      </c>
      <c r="P700" t="str">
        <f>_xlfn.XLOOKUP(Table1[[#This Row],[Customer ID]],customers!$A$2:$A$1001,customers!$I$2:$I$1001,,0)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ID]],customers!$A$2:$A$1001,customers!$I$2:$I$1001,,0)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Librica</v>
      </c>
      <c r="O702" t="str">
        <f t="shared" si="32"/>
        <v>Light</v>
      </c>
      <c r="P702" t="str">
        <f>_xlfn.XLOOKUP(Table1[[#This Row],[Customer ID]],customers!$A$2:$A$1001,customers!$I$2:$I$1001,,0)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ID]],customers!$A$2:$A$1001,customers!$I$2:$I$1001,,0)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ID]],customers!$A$2:$A$1001,customers!$I$2:$I$1001,,0)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Librica</v>
      </c>
      <c r="O705" t="str">
        <f t="shared" si="32"/>
        <v>Dark</v>
      </c>
      <c r="P705" t="str">
        <f>_xlfn.XLOOKUP(Table1[[#This Row],[Customer ID]],customers!$A$2:$A$1001,customers!$I$2:$I$1001,,0)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ID]],customers!$A$2:$A$1001,customers!$I$2:$I$1001,,0)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IF(I707="Rob","Robusta",IF(I707="Exc","Excelsa",IF(I707="Ara","Arabica",IF(I707="Lib","Librica",""))))</f>
        <v>Excelsa</v>
      </c>
      <c r="O707" t="str">
        <f t="shared" ref="O707:O770" si="35">IF(J707="M","Medium",IF(J707="L","Light",IF(J707="D","Dark","")))</f>
        <v>Light</v>
      </c>
      <c r="P707" t="str">
        <f>_xlfn.XLOOKUP(Table1[[#This Row],[Customer ID]],customers!$A$2:$A$1001,customers!$I$2:$I$1001,,0)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ID]],customers!$A$2:$A$1001,customers!$I$2:$I$1001,,0)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Librica</v>
      </c>
      <c r="O709" t="str">
        <f t="shared" si="35"/>
        <v>Dark</v>
      </c>
      <c r="P709" t="str">
        <f>_xlfn.XLOOKUP(Table1[[#This Row],[Customer ID]],customers!$A$2:$A$1001,customers!$I$2:$I$1001,,0)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ID]],customers!$A$2:$A$1001,customers!$I$2:$I$1001,,0)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ID]],customers!$A$2:$A$1001,customers!$I$2:$I$1001,,0)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ID]],customers!$A$2:$A$1001,customers!$I$2:$I$1001,,0)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ID]],customers!$A$2:$A$1001,customers!$I$2:$I$1001,,0)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ID]],customers!$A$2:$A$1001,customers!$I$2:$I$1001,,0)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ID]],customers!$A$2:$A$1001,customers!$I$2:$I$1001,,0)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ID]],customers!$A$2:$A$1001,customers!$I$2:$I$1001,,0)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ID]],customers!$A$2:$A$1001,customers!$I$2:$I$1001,,0)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ID]],customers!$A$2:$A$1001,customers!$I$2:$I$1001,,0)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ID]],customers!$A$2:$A$1001,customers!$I$2:$I$1001,,0)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Librica</v>
      </c>
      <c r="O720" t="str">
        <f t="shared" si="35"/>
        <v>Dark</v>
      </c>
      <c r="P720" t="str">
        <f>_xlfn.XLOOKUP(Table1[[#This Row],[Customer ID]],customers!$A$2:$A$1001,customers!$I$2:$I$1001,,0)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Librica</v>
      </c>
      <c r="O721" t="str">
        <f t="shared" si="35"/>
        <v>Light</v>
      </c>
      <c r="P721" t="str">
        <f>_xlfn.XLOOKUP(Table1[[#This Row],[Customer ID]],customers!$A$2:$A$1001,customers!$I$2:$I$1001,,0)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ID]],customers!$A$2:$A$1001,customers!$I$2:$I$1001,,0)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ID]],customers!$A$2:$A$1001,customers!$I$2:$I$1001,,0)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ID]],customers!$A$2:$A$1001,customers!$I$2:$I$1001,,0)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ID]],customers!$A$2:$A$1001,customers!$I$2:$I$1001,,0)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ID]],customers!$A$2:$A$1001,customers!$I$2:$I$1001,,0)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ID]],customers!$A$2:$A$1001,customers!$I$2:$I$1001,,0)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Librica</v>
      </c>
      <c r="O728" t="str">
        <f t="shared" si="35"/>
        <v>Light</v>
      </c>
      <c r="P728" t="str">
        <f>_xlfn.XLOOKUP(Table1[[#This Row],[Customer ID]],customers!$A$2:$A$1001,customers!$I$2:$I$1001,,0)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ID]],customers!$A$2:$A$1001,customers!$I$2:$I$1001,,0)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ID]],customers!$A$2:$A$1001,customers!$I$2:$I$1001,,0)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Librica</v>
      </c>
      <c r="O731" t="str">
        <f t="shared" si="35"/>
        <v>Medium</v>
      </c>
      <c r="P731" t="str">
        <f>_xlfn.XLOOKUP(Table1[[#This Row],[Customer ID]],customers!$A$2:$A$1001,customers!$I$2:$I$1001,,0)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Librica</v>
      </c>
      <c r="O732" t="str">
        <f t="shared" si="35"/>
        <v>Light</v>
      </c>
      <c r="P732" t="str">
        <f>_xlfn.XLOOKUP(Table1[[#This Row],[Customer ID]],customers!$A$2:$A$1001,customers!$I$2:$I$1001,,0)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Librica</v>
      </c>
      <c r="O733" t="str">
        <f t="shared" si="35"/>
        <v>Dark</v>
      </c>
      <c r="P733" t="str">
        <f>_xlfn.XLOOKUP(Table1[[#This Row],[Customer ID]],customers!$A$2:$A$1001,customers!$I$2:$I$1001,,0)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ID]],customers!$A$2:$A$1001,customers!$I$2:$I$1001,,0)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Librica</v>
      </c>
      <c r="O735" t="str">
        <f t="shared" si="35"/>
        <v>Medium</v>
      </c>
      <c r="P735" t="str">
        <f>_xlfn.XLOOKUP(Table1[[#This Row],[Customer ID]],customers!$A$2:$A$1001,customers!$I$2:$I$1001,,0)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ID]],customers!$A$2:$A$1001,customers!$I$2:$I$1001,,0)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ID]],customers!$A$2:$A$1001,customers!$I$2:$I$1001,,0)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Librica</v>
      </c>
      <c r="O738" t="str">
        <f t="shared" si="35"/>
        <v>Dark</v>
      </c>
      <c r="P738" t="str">
        <f>_xlfn.XLOOKUP(Table1[[#This Row],[Customer ID]],customers!$A$2:$A$1001,customers!$I$2:$I$1001,,0)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ID]],customers!$A$2:$A$1001,customers!$I$2:$I$1001,,0)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ID]],customers!$A$2:$A$1001,customers!$I$2:$I$1001,,0)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ID]],customers!$A$2:$A$1001,customers!$I$2:$I$1001,,0)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ID]],customers!$A$2:$A$1001,customers!$I$2:$I$1001,,0)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Librica</v>
      </c>
      <c r="O743" t="str">
        <f t="shared" si="35"/>
        <v>Medium</v>
      </c>
      <c r="P743" t="str">
        <f>_xlfn.XLOOKUP(Table1[[#This Row],[Customer ID]],customers!$A$2:$A$1001,customers!$I$2:$I$1001,,0)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Librica</v>
      </c>
      <c r="O744" t="str">
        <f t="shared" si="35"/>
        <v>Medium</v>
      </c>
      <c r="P744" t="str">
        <f>_xlfn.XLOOKUP(Table1[[#This Row],[Customer ID]],customers!$A$2:$A$1001,customers!$I$2:$I$1001,,0)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ID]],customers!$A$2:$A$1001,customers!$I$2:$I$1001,,0)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ID]],customers!$A$2:$A$1001,customers!$I$2:$I$1001,,0)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ID]],customers!$A$2:$A$1001,customers!$I$2:$I$1001,,0)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ID]],customers!$A$2:$A$1001,customers!$I$2:$I$1001,,0)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Librica</v>
      </c>
      <c r="O749" t="str">
        <f t="shared" si="35"/>
        <v>Medium</v>
      </c>
      <c r="P749" t="str">
        <f>_xlfn.XLOOKUP(Table1[[#This Row],[Customer ID]],customers!$A$2:$A$1001,customers!$I$2:$I$1001,,0)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ID]],customers!$A$2:$A$1001,customers!$I$2:$I$1001,,0)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ID]],customers!$A$2:$A$1001,customers!$I$2:$I$1001,,0)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ID]],customers!$A$2:$A$1001,customers!$I$2:$I$1001,,0)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Librica</v>
      </c>
      <c r="O753" t="str">
        <f t="shared" si="35"/>
        <v>Light</v>
      </c>
      <c r="P753" t="str">
        <f>_xlfn.XLOOKUP(Table1[[#This Row],[Customer ID]],customers!$A$2:$A$1001,customers!$I$2:$I$1001,,0)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ID]],customers!$A$2:$A$1001,customers!$I$2:$I$1001,,0)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ID]],customers!$A$2:$A$1001,customers!$I$2:$I$1001,,0)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ID]],customers!$A$2:$A$1001,customers!$I$2:$I$1001,,0)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Librica</v>
      </c>
      <c r="O757" t="str">
        <f t="shared" si="35"/>
        <v>Light</v>
      </c>
      <c r="P757" t="str">
        <f>_xlfn.XLOOKUP(Table1[[#This Row],[Customer ID]],customers!$A$2:$A$1001,customers!$I$2:$I$1001,,0)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ID]],customers!$A$2:$A$1001,customers!$I$2:$I$1001,,0)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ID]],customers!$A$2:$A$1001,customers!$I$2:$I$1001,,0)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ID]],customers!$A$2:$A$1001,customers!$I$2:$I$1001,,0)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Librica</v>
      </c>
      <c r="O761" t="str">
        <f t="shared" si="35"/>
        <v>Dark</v>
      </c>
      <c r="P761" t="str">
        <f>_xlfn.XLOOKUP(Table1[[#This Row],[Customer ID]],customers!$A$2:$A$1001,customers!$I$2:$I$1001,,0)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ID]],customers!$A$2:$A$1001,customers!$I$2:$I$1001,,0)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ID]],customers!$A$2:$A$1001,customers!$I$2:$I$1001,,0)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Librica</v>
      </c>
      <c r="O764" t="str">
        <f t="shared" si="35"/>
        <v>Medium</v>
      </c>
      <c r="P764" t="str">
        <f>_xlfn.XLOOKUP(Table1[[#This Row],[Customer ID]],customers!$A$2:$A$1001,customers!$I$2:$I$1001,,0)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ID]],customers!$A$2:$A$1001,customers!$I$2:$I$1001,,0)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ID]],customers!$A$2:$A$1001,customers!$I$2:$I$1001,,0)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ID]],customers!$A$2:$A$1001,customers!$I$2:$I$1001,,0)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ID]],customers!$A$2:$A$1001,customers!$I$2:$I$1001,,0)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ID]],customers!$A$2:$A$1001,customers!$I$2:$I$1001,,0)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ID]],customers!$A$2:$A$1001,customers!$I$2:$I$1001,,0)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IF(I771="Rob","Robusta",IF(I771="Exc","Excelsa",IF(I771="Ara","Arabica",IF(I771="Lib","Librica",""))))</f>
        <v>Robusta</v>
      </c>
      <c r="O771" t="str">
        <f t="shared" ref="O771:O834" si="38">IF(J771="M","Medium",IF(J771="L","Light",IF(J771="D","Dark","")))</f>
        <v>Medium</v>
      </c>
      <c r="P771" t="str">
        <f>_xlfn.XLOOKUP(Table1[[#This Row],[Customer ID]],customers!$A$2:$A$1001,customers!$I$2:$I$1001,,0)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ID]],customers!$A$2:$A$1001,customers!$I$2:$I$1001,,0)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ID]],customers!$A$2:$A$1001,customers!$I$2:$I$1001,,0)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ID]],customers!$A$2:$A$1001,customers!$I$2:$I$1001,,0)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Librica</v>
      </c>
      <c r="O775" t="str">
        <f t="shared" si="38"/>
        <v>Medium</v>
      </c>
      <c r="P775" t="str">
        <f>_xlfn.XLOOKUP(Table1[[#This Row],[Customer ID]],customers!$A$2:$A$1001,customers!$I$2:$I$1001,,0)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ID]],customers!$A$2:$A$1001,customers!$I$2:$I$1001,,0)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ID]],customers!$A$2:$A$1001,customers!$I$2:$I$1001,,0)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ID]],customers!$A$2:$A$1001,customers!$I$2:$I$1001,,0)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ID]],customers!$A$2:$A$1001,customers!$I$2:$I$1001,,0)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Librica</v>
      </c>
      <c r="O780" t="str">
        <f t="shared" si="38"/>
        <v>Light</v>
      </c>
      <c r="P780" t="str">
        <f>_xlfn.XLOOKUP(Table1[[#This Row],[Customer ID]],customers!$A$2:$A$1001,customers!$I$2:$I$1001,,0)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Librica</v>
      </c>
      <c r="O781" t="str">
        <f t="shared" si="38"/>
        <v>Dark</v>
      </c>
      <c r="P781" t="str">
        <f>_xlfn.XLOOKUP(Table1[[#This Row],[Customer ID]],customers!$A$2:$A$1001,customers!$I$2:$I$1001,,0)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ID]],customers!$A$2:$A$1001,customers!$I$2:$I$1001,,0)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Librica</v>
      </c>
      <c r="O783" t="str">
        <f t="shared" si="38"/>
        <v>Light</v>
      </c>
      <c r="P783" t="str">
        <f>_xlfn.XLOOKUP(Table1[[#This Row],[Customer ID]],customers!$A$2:$A$1001,customers!$I$2:$I$1001,,0)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ID]],customers!$A$2:$A$1001,customers!$I$2:$I$1001,,0)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Librica</v>
      </c>
      <c r="O785" t="str">
        <f t="shared" si="38"/>
        <v>Medium</v>
      </c>
      <c r="P785" t="str">
        <f>_xlfn.XLOOKUP(Table1[[#This Row],[Customer ID]],customers!$A$2:$A$1001,customers!$I$2:$I$1001,,0)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Librica</v>
      </c>
      <c r="O786" t="str">
        <f t="shared" si="38"/>
        <v>Light</v>
      </c>
      <c r="P786" t="str">
        <f>_xlfn.XLOOKUP(Table1[[#This Row],[Customer ID]],customers!$A$2:$A$1001,customers!$I$2:$I$1001,,0)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ID]],customers!$A$2:$A$1001,customers!$I$2:$I$1001,,0)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ID]],customers!$A$2:$A$1001,customers!$I$2:$I$1001,,0)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ID]],customers!$A$2:$A$1001,customers!$I$2:$I$1001,,0)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ID]],customers!$A$2:$A$1001,customers!$I$2:$I$1001,,0)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ID]],customers!$A$2:$A$1001,customers!$I$2:$I$1001,,0)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ID]],customers!$A$2:$A$1001,customers!$I$2:$I$1001,,0)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Librica</v>
      </c>
      <c r="O793" t="str">
        <f t="shared" si="38"/>
        <v>Light</v>
      </c>
      <c r="P793" t="str">
        <f>_xlfn.XLOOKUP(Table1[[#This Row],[Customer ID]],customers!$A$2:$A$1001,customers!$I$2:$I$1001,,0)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Librica</v>
      </c>
      <c r="O794" t="str">
        <f t="shared" si="38"/>
        <v>Medium</v>
      </c>
      <c r="P794" t="str">
        <f>_xlfn.XLOOKUP(Table1[[#This Row],[Customer ID]],customers!$A$2:$A$1001,customers!$I$2:$I$1001,,0)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ID]],customers!$A$2:$A$1001,customers!$I$2:$I$1001,,0)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ID]],customers!$A$2:$A$1001,customers!$I$2:$I$1001,,0)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ID]],customers!$A$2:$A$1001,customers!$I$2:$I$1001,,0)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Librica</v>
      </c>
      <c r="O798" t="str">
        <f t="shared" si="38"/>
        <v>Light</v>
      </c>
      <c r="P798" t="str">
        <f>_xlfn.XLOOKUP(Table1[[#This Row],[Customer ID]],customers!$A$2:$A$1001,customers!$I$2:$I$1001,,0)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ID]],customers!$A$2:$A$1001,customers!$I$2:$I$1001,,0)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ID]],customers!$A$2:$A$1001,customers!$I$2:$I$1001,,0)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ID]],customers!$A$2:$A$1001,customers!$I$2:$I$1001,,0)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ID]],customers!$A$2:$A$1001,customers!$I$2:$I$1001,,0)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ID]],customers!$A$2:$A$1001,customers!$I$2:$I$1001,,0)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ID]],customers!$A$2:$A$1001,customers!$I$2:$I$1001,,0)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ID]],customers!$A$2:$A$1001,customers!$I$2:$I$1001,,0)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ID]],customers!$A$2:$A$1001,customers!$I$2:$I$1001,,0)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ID]],customers!$A$2:$A$1001,customers!$I$2:$I$1001,,0)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Librica</v>
      </c>
      <c r="O808" t="str">
        <f t="shared" si="38"/>
        <v>Dark</v>
      </c>
      <c r="P808" t="str">
        <f>_xlfn.XLOOKUP(Table1[[#This Row],[Customer ID]],customers!$A$2:$A$1001,customers!$I$2:$I$1001,,0)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Librica</v>
      </c>
      <c r="O809" t="str">
        <f t="shared" si="38"/>
        <v>Dark</v>
      </c>
      <c r="P809" t="str">
        <f>_xlfn.XLOOKUP(Table1[[#This Row],[Customer ID]],customers!$A$2:$A$1001,customers!$I$2:$I$1001,,0)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ID]],customers!$A$2:$A$1001,customers!$I$2:$I$1001,,0)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ID]],customers!$A$2:$A$1001,customers!$I$2:$I$1001,,0)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Librica</v>
      </c>
      <c r="O812" t="str">
        <f t="shared" si="38"/>
        <v>Light</v>
      </c>
      <c r="P812" t="str">
        <f>_xlfn.XLOOKUP(Table1[[#This Row],[Customer ID]],customers!$A$2:$A$1001,customers!$I$2:$I$1001,,0)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ID]],customers!$A$2:$A$1001,customers!$I$2:$I$1001,,0)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Librica</v>
      </c>
      <c r="O814" t="str">
        <f t="shared" si="38"/>
        <v>Dark</v>
      </c>
      <c r="P814" t="str">
        <f>_xlfn.XLOOKUP(Table1[[#This Row],[Customer ID]],customers!$A$2:$A$1001,customers!$I$2:$I$1001,,0)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ID]],customers!$A$2:$A$1001,customers!$I$2:$I$1001,,0)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ID]],customers!$A$2:$A$1001,customers!$I$2:$I$1001,,0)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ID]],customers!$A$2:$A$1001,customers!$I$2:$I$1001,,0)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Librica</v>
      </c>
      <c r="O818" t="str">
        <f t="shared" si="38"/>
        <v>Light</v>
      </c>
      <c r="P818" t="str">
        <f>_xlfn.XLOOKUP(Table1[[#This Row],[Customer ID]],customers!$A$2:$A$1001,customers!$I$2:$I$1001,,0)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Librica</v>
      </c>
      <c r="O819" t="str">
        <f t="shared" si="38"/>
        <v>Dark</v>
      </c>
      <c r="P819" t="str">
        <f>_xlfn.XLOOKUP(Table1[[#This Row],[Customer ID]],customers!$A$2:$A$1001,customers!$I$2:$I$1001,,0)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Librica</v>
      </c>
      <c r="O820" t="str">
        <f t="shared" si="38"/>
        <v>Light</v>
      </c>
      <c r="P820" t="str">
        <f>_xlfn.XLOOKUP(Table1[[#This Row],[Customer ID]],customers!$A$2:$A$1001,customers!$I$2:$I$1001,,0)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Librica</v>
      </c>
      <c r="O821" t="str">
        <f t="shared" si="38"/>
        <v>Light</v>
      </c>
      <c r="P821" t="str">
        <f>_xlfn.XLOOKUP(Table1[[#This Row],[Customer ID]],customers!$A$2:$A$1001,customers!$I$2:$I$1001,,0)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ID]],customers!$A$2:$A$1001,customers!$I$2:$I$1001,,0)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ID]],customers!$A$2:$A$1001,customers!$I$2:$I$1001,,0)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ID]],customers!$A$2:$A$1001,customers!$I$2:$I$1001,,0)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Librica</v>
      </c>
      <c r="O825" t="str">
        <f t="shared" si="38"/>
        <v>Light</v>
      </c>
      <c r="P825" t="str">
        <f>_xlfn.XLOOKUP(Table1[[#This Row],[Customer ID]],customers!$A$2:$A$1001,customers!$I$2:$I$1001,,0)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ID]],customers!$A$2:$A$1001,customers!$I$2:$I$1001,,0)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ID]],customers!$A$2:$A$1001,customers!$I$2:$I$1001,,0)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ID]],customers!$A$2:$A$1001,customers!$I$2:$I$1001,,0)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ID]],customers!$A$2:$A$1001,customers!$I$2:$I$1001,,0)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ID]],customers!$A$2:$A$1001,customers!$I$2:$I$1001,,0)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ID]],customers!$A$2:$A$1001,customers!$I$2:$I$1001,,0)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ID]],customers!$A$2:$A$1001,customers!$I$2:$I$1001,,0)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ID]],customers!$A$2:$A$1001,customers!$I$2:$I$1001,,0)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ID]],customers!$A$2:$A$1001,customers!$I$2:$I$1001,,0)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IF(I835="Rob","Robusta",IF(I835="Exc","Excelsa",IF(I835="Ara","Arabica",IF(I835="Lib","Librica",""))))</f>
        <v>Robusta</v>
      </c>
      <c r="O835" t="str">
        <f t="shared" ref="O835:O898" si="41">IF(J835="M","Medium",IF(J835="L","Light",IF(J835="D","Dark","")))</f>
        <v>Dark</v>
      </c>
      <c r="P835" t="str">
        <f>_xlfn.XLOOKUP(Table1[[#This Row],[Customer ID]],customers!$A$2:$A$1001,customers!$I$2:$I$1001,,0)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ID]],customers!$A$2:$A$1001,customers!$I$2:$I$1001,,0)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ID]],customers!$A$2:$A$1001,customers!$I$2:$I$1001,,0)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ID]],customers!$A$2:$A$1001,customers!$I$2:$I$1001,,0)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Librica</v>
      </c>
      <c r="O839" t="str">
        <f t="shared" si="41"/>
        <v>Medium</v>
      </c>
      <c r="P839" t="str">
        <f>_xlfn.XLOOKUP(Table1[[#This Row],[Customer ID]],customers!$A$2:$A$1001,customers!$I$2:$I$1001,,0)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ID]],customers!$A$2:$A$1001,customers!$I$2:$I$1001,,0)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ID]],customers!$A$2:$A$1001,customers!$I$2:$I$1001,,0)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ID]],customers!$A$2:$A$1001,customers!$I$2:$I$1001,,0)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Librica</v>
      </c>
      <c r="O843" t="str">
        <f t="shared" si="41"/>
        <v>Medium</v>
      </c>
      <c r="P843" t="str">
        <f>_xlfn.XLOOKUP(Table1[[#This Row],[Customer ID]],customers!$A$2:$A$1001,customers!$I$2:$I$1001,,0)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ID]],customers!$A$2:$A$1001,customers!$I$2:$I$1001,,0)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ID]],customers!$A$2:$A$1001,customers!$I$2:$I$1001,,0)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ID]],customers!$A$2:$A$1001,customers!$I$2:$I$1001,,0)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ID]],customers!$A$2:$A$1001,customers!$I$2:$I$1001,,0)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ID]],customers!$A$2:$A$1001,customers!$I$2:$I$1001,,0)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ID]],customers!$A$2:$A$1001,customers!$I$2:$I$1001,,0)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ID]],customers!$A$2:$A$1001,customers!$I$2:$I$1001,,0)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ID]],customers!$A$2:$A$1001,customers!$I$2:$I$1001,,0)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ID]],customers!$A$2:$A$1001,customers!$I$2:$I$1001,,0)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Librica</v>
      </c>
      <c r="O853" t="str">
        <f t="shared" si="41"/>
        <v>Dark</v>
      </c>
      <c r="P853" t="str">
        <f>_xlfn.XLOOKUP(Table1[[#This Row],[Customer ID]],customers!$A$2:$A$1001,customers!$I$2:$I$1001,,0)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Librica</v>
      </c>
      <c r="O854" t="str">
        <f t="shared" si="41"/>
        <v>Dark</v>
      </c>
      <c r="P854" t="str">
        <f>_xlfn.XLOOKUP(Table1[[#This Row],[Customer ID]],customers!$A$2:$A$1001,customers!$I$2:$I$1001,,0)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ID]],customers!$A$2:$A$1001,customers!$I$2:$I$1001,,0)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ID]],customers!$A$2:$A$1001,customers!$I$2:$I$1001,,0)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Librica</v>
      </c>
      <c r="O857" t="str">
        <f t="shared" si="41"/>
        <v>Dark</v>
      </c>
      <c r="P857" t="str">
        <f>_xlfn.XLOOKUP(Table1[[#This Row],[Customer ID]],customers!$A$2:$A$1001,customers!$I$2:$I$1001,,0)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Librica</v>
      </c>
      <c r="O858" t="str">
        <f t="shared" si="41"/>
        <v>Medium</v>
      </c>
      <c r="P858" t="str">
        <f>_xlfn.XLOOKUP(Table1[[#This Row],[Customer ID]],customers!$A$2:$A$1001,customers!$I$2:$I$1001,,0)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ID]],customers!$A$2:$A$1001,customers!$I$2:$I$1001,,0)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Librica</v>
      </c>
      <c r="O860" t="str">
        <f t="shared" si="41"/>
        <v>Medium</v>
      </c>
      <c r="P860" t="str">
        <f>_xlfn.XLOOKUP(Table1[[#This Row],[Customer ID]],customers!$A$2:$A$1001,customers!$I$2:$I$1001,,0)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ID]],customers!$A$2:$A$1001,customers!$I$2:$I$1001,,0)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ID]],customers!$A$2:$A$1001,customers!$I$2:$I$1001,,0)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Librica</v>
      </c>
      <c r="O863" t="str">
        <f t="shared" si="41"/>
        <v>Dark</v>
      </c>
      <c r="P863" t="str">
        <f>_xlfn.XLOOKUP(Table1[[#This Row],[Customer ID]],customers!$A$2:$A$1001,customers!$I$2:$I$1001,,0)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ID]],customers!$A$2:$A$1001,customers!$I$2:$I$1001,,0)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Librica</v>
      </c>
      <c r="O865" t="str">
        <f t="shared" si="41"/>
        <v>Medium</v>
      </c>
      <c r="P865" t="str">
        <f>_xlfn.XLOOKUP(Table1[[#This Row],[Customer ID]],customers!$A$2:$A$1001,customers!$I$2:$I$1001,,0)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ID]],customers!$A$2:$A$1001,customers!$I$2:$I$1001,,0)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ID]],customers!$A$2:$A$1001,customers!$I$2:$I$1001,,0)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ID]],customers!$A$2:$A$1001,customers!$I$2:$I$1001,,0)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ID]],customers!$A$2:$A$1001,customers!$I$2:$I$1001,,0)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ID]],customers!$A$2:$A$1001,customers!$I$2:$I$1001,,0)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ID]],customers!$A$2:$A$1001,customers!$I$2:$I$1001,,0)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ID]],customers!$A$2:$A$1001,customers!$I$2:$I$1001,,0)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ID]],customers!$A$2:$A$1001,customers!$I$2:$I$1001,,0)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ID]],customers!$A$2:$A$1001,customers!$I$2:$I$1001,,0)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ID]],customers!$A$2:$A$1001,customers!$I$2:$I$1001,,0)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ID]],customers!$A$2:$A$1001,customers!$I$2:$I$1001,,0)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Librica</v>
      </c>
      <c r="O877" t="str">
        <f t="shared" si="41"/>
        <v>Medium</v>
      </c>
      <c r="P877" t="str">
        <f>_xlfn.XLOOKUP(Table1[[#This Row],[Customer ID]],customers!$A$2:$A$1001,customers!$I$2:$I$1001,,0)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ID]],customers!$A$2:$A$1001,customers!$I$2:$I$1001,,0)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Librica</v>
      </c>
      <c r="O879" t="str">
        <f t="shared" si="41"/>
        <v>Light</v>
      </c>
      <c r="P879" t="str">
        <f>_xlfn.XLOOKUP(Table1[[#This Row],[Customer ID]],customers!$A$2:$A$1001,customers!$I$2:$I$1001,,0)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ID]],customers!$A$2:$A$1001,customers!$I$2:$I$1001,,0)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ID]],customers!$A$2:$A$1001,customers!$I$2:$I$1001,,0)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ID]],customers!$A$2:$A$1001,customers!$I$2:$I$1001,,0)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ID]],customers!$A$2:$A$1001,customers!$I$2:$I$1001,,0)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ID]],customers!$A$2:$A$1001,customers!$I$2:$I$1001,,0)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ID]],customers!$A$2:$A$1001,customers!$I$2:$I$1001,,0)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ID]],customers!$A$2:$A$1001,customers!$I$2:$I$1001,,0)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ID]],customers!$A$2:$A$1001,customers!$I$2:$I$1001,,0)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Librica</v>
      </c>
      <c r="O888" t="str">
        <f t="shared" si="41"/>
        <v>Medium</v>
      </c>
      <c r="P888" t="str">
        <f>_xlfn.XLOOKUP(Table1[[#This Row],[Customer ID]],customers!$A$2:$A$1001,customers!$I$2:$I$1001,,0)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ID]],customers!$A$2:$A$1001,customers!$I$2:$I$1001,,0)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ID]],customers!$A$2:$A$1001,customers!$I$2:$I$1001,,0)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ID]],customers!$A$2:$A$1001,customers!$I$2:$I$1001,,0)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ID]],customers!$A$2:$A$1001,customers!$I$2:$I$1001,,0)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ID]],customers!$A$2:$A$1001,customers!$I$2:$I$1001,,0)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ID]],customers!$A$2:$A$1001,customers!$I$2:$I$1001,,0)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Librica</v>
      </c>
      <c r="O895" t="str">
        <f t="shared" si="41"/>
        <v>Light</v>
      </c>
      <c r="P895" t="str">
        <f>_xlfn.XLOOKUP(Table1[[#This Row],[Customer ID]],customers!$A$2:$A$1001,customers!$I$2:$I$1001,,0)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ID]],customers!$A$2:$A$1001,customers!$I$2:$I$1001,,0)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ID]],customers!$A$2:$A$1001,customers!$I$2:$I$1001,,0)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ID]],customers!$A$2:$A$1001,customers!$I$2:$I$1001,,0)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IF(I899="Rob","Robusta",IF(I899="Exc","Excelsa",IF(I899="Ara","Arabica",IF(I899="Lib","Librica",""))))</f>
        <v>Excelsa</v>
      </c>
      <c r="O899" t="str">
        <f t="shared" ref="O899:O962" si="44">IF(J899="M","Medium",IF(J899="L","Light",IF(J899="D","Dark","")))</f>
        <v>Dark</v>
      </c>
      <c r="P899" t="str">
        <f>_xlfn.XLOOKUP(Table1[[#This Row],[Customer ID]],customers!$A$2:$A$1001,customers!$I$2:$I$1001,,0)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ID]],customers!$A$2:$A$1001,customers!$I$2:$I$1001,,0)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Librica</v>
      </c>
      <c r="O901" t="str">
        <f t="shared" si="44"/>
        <v>Medium</v>
      </c>
      <c r="P901" t="str">
        <f>_xlfn.XLOOKUP(Table1[[#This Row],[Customer ID]],customers!$A$2:$A$1001,customers!$I$2:$I$1001,,0)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Librica</v>
      </c>
      <c r="O902" t="str">
        <f t="shared" si="44"/>
        <v>Light</v>
      </c>
      <c r="P902" t="str">
        <f>_xlfn.XLOOKUP(Table1[[#This Row],[Customer ID]],customers!$A$2:$A$1001,customers!$I$2:$I$1001,,0)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ID]],customers!$A$2:$A$1001,customers!$I$2:$I$1001,,0)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ID]],customers!$A$2:$A$1001,customers!$I$2:$I$1001,,0)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Librica</v>
      </c>
      <c r="O905" t="str">
        <f t="shared" si="44"/>
        <v>Medium</v>
      </c>
      <c r="P905" t="str">
        <f>_xlfn.XLOOKUP(Table1[[#This Row],[Customer ID]],customers!$A$2:$A$1001,customers!$I$2:$I$1001,,0)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ID]],customers!$A$2:$A$1001,customers!$I$2:$I$1001,,0)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ID]],customers!$A$2:$A$1001,customers!$I$2:$I$1001,,0)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ID]],customers!$A$2:$A$1001,customers!$I$2:$I$1001,,0)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Librica</v>
      </c>
      <c r="O909" t="str">
        <f t="shared" si="44"/>
        <v>Dark</v>
      </c>
      <c r="P909" t="str">
        <f>_xlfn.XLOOKUP(Table1[[#This Row],[Customer ID]],customers!$A$2:$A$1001,customers!$I$2:$I$1001,,0)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ID]],customers!$A$2:$A$1001,customers!$I$2:$I$1001,,0)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ID]],customers!$A$2:$A$1001,customers!$I$2:$I$1001,,0)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ID]],customers!$A$2:$A$1001,customers!$I$2:$I$1001,,0)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ID]],customers!$A$2:$A$1001,customers!$I$2:$I$1001,,0)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ID]],customers!$A$2:$A$1001,customers!$I$2:$I$1001,,0)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ID]],customers!$A$2:$A$1001,customers!$I$2:$I$1001,,0)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ID]],customers!$A$2:$A$1001,customers!$I$2:$I$1001,,0)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ID]],customers!$A$2:$A$1001,customers!$I$2:$I$1001,,0)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ID]],customers!$A$2:$A$1001,customers!$I$2:$I$1001,,0)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ID]],customers!$A$2:$A$1001,customers!$I$2:$I$1001,,0)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ID]],customers!$A$2:$A$1001,customers!$I$2:$I$1001,,0)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ID]],customers!$A$2:$A$1001,customers!$I$2:$I$1001,,0)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ID]],customers!$A$2:$A$1001,customers!$I$2:$I$1001,,0)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Librica</v>
      </c>
      <c r="O923" t="str">
        <f t="shared" si="44"/>
        <v>Dark</v>
      </c>
      <c r="P923" t="str">
        <f>_xlfn.XLOOKUP(Table1[[#This Row],[Customer ID]],customers!$A$2:$A$1001,customers!$I$2:$I$1001,,0)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ID]],customers!$A$2:$A$1001,customers!$I$2:$I$1001,,0)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ID]],customers!$A$2:$A$1001,customers!$I$2:$I$1001,,0)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ID]],customers!$A$2:$A$1001,customers!$I$2:$I$1001,,0)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ID]],customers!$A$2:$A$1001,customers!$I$2:$I$1001,,0)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ID]],customers!$A$2:$A$1001,customers!$I$2:$I$1001,,0)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ID]],customers!$A$2:$A$1001,customers!$I$2:$I$1001,,0)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ID]],customers!$A$2:$A$1001,customers!$I$2:$I$1001,,0)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ID]],customers!$A$2:$A$1001,customers!$I$2:$I$1001,,0)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ID]],customers!$A$2:$A$1001,customers!$I$2:$I$1001,,0)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ID]],customers!$A$2:$A$1001,customers!$I$2:$I$1001,,0)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ID]],customers!$A$2:$A$1001,customers!$I$2:$I$1001,,0)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ID]],customers!$A$2:$A$1001,customers!$I$2:$I$1001,,0)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ID]],customers!$A$2:$A$1001,customers!$I$2:$I$1001,,0)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ID]],customers!$A$2:$A$1001,customers!$I$2:$I$1001,,0)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Librica</v>
      </c>
      <c r="O938" t="str">
        <f t="shared" si="44"/>
        <v>Dark</v>
      </c>
      <c r="P938" t="str">
        <f>_xlfn.XLOOKUP(Table1[[#This Row],[Customer ID]],customers!$A$2:$A$1001,customers!$I$2:$I$1001,,0)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ID]],customers!$A$2:$A$1001,customers!$I$2:$I$1001,,0)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ID]],customers!$A$2:$A$1001,customers!$I$2:$I$1001,,0)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Librica</v>
      </c>
      <c r="O941" t="str">
        <f t="shared" si="44"/>
        <v>Light</v>
      </c>
      <c r="P941" t="str">
        <f>_xlfn.XLOOKUP(Table1[[#This Row],[Customer ID]],customers!$A$2:$A$1001,customers!$I$2:$I$1001,,0)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ID]],customers!$A$2:$A$1001,customers!$I$2:$I$1001,,0)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ID]],customers!$A$2:$A$1001,customers!$I$2:$I$1001,,0)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ID]],customers!$A$2:$A$1001,customers!$I$2:$I$1001,,0)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ID]],customers!$A$2:$A$1001,customers!$I$2:$I$1001,,0)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ID]],customers!$A$2:$A$1001,customers!$I$2:$I$1001,,0)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Librica</v>
      </c>
      <c r="O947" t="str">
        <f t="shared" si="44"/>
        <v>Dark</v>
      </c>
      <c r="P947" t="str">
        <f>_xlfn.XLOOKUP(Table1[[#This Row],[Customer ID]],customers!$A$2:$A$1001,customers!$I$2:$I$1001,,0)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Librica</v>
      </c>
      <c r="O948" t="str">
        <f t="shared" si="44"/>
        <v>Dark</v>
      </c>
      <c r="P948" t="str">
        <f>_xlfn.XLOOKUP(Table1[[#This Row],[Customer ID]],customers!$A$2:$A$1001,customers!$I$2:$I$1001,,0)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ID]],customers!$A$2:$A$1001,customers!$I$2:$I$1001,,0)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ID]],customers!$A$2:$A$1001,customers!$I$2:$I$1001,,0)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ID]],customers!$A$2:$A$1001,customers!$I$2:$I$1001,,0)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ID]],customers!$A$2:$A$1001,customers!$I$2:$I$1001,,0)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ID]],customers!$A$2:$A$1001,customers!$I$2:$I$1001,,0)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ID]],customers!$A$2:$A$1001,customers!$I$2:$I$1001,,0)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ID]],customers!$A$2:$A$1001,customers!$I$2:$I$1001,,0)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ID]],customers!$A$2:$A$1001,customers!$I$2:$I$1001,,0)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ID]],customers!$A$2:$A$1001,customers!$I$2:$I$1001,,0)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ID]],customers!$A$2:$A$1001,customers!$I$2:$I$1001,,0)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ID]],customers!$A$2:$A$1001,customers!$I$2:$I$1001,,0)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ID]],customers!$A$2:$A$1001,customers!$I$2:$I$1001,,0)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Librica</v>
      </c>
      <c r="O961" t="str">
        <f t="shared" si="44"/>
        <v>Light</v>
      </c>
      <c r="P961" t="str">
        <f>_xlfn.XLOOKUP(Table1[[#This Row],[Customer ID]],customers!$A$2:$A$1001,customers!$I$2:$I$1001,,0)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Librica</v>
      </c>
      <c r="O962" t="str">
        <f t="shared" si="44"/>
        <v>Light</v>
      </c>
      <c r="P962" t="str">
        <f>_xlfn.XLOOKUP(Table1[[#This Row],[Customer ID]],customers!$A$2:$A$1001,customers!$I$2:$I$1001,,0)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IF(I963="Rob","Robusta",IF(I963="Exc","Excelsa",IF(I963="Ara","Arabica",IF(I963="Lib","Librica",""))))</f>
        <v>Arabica</v>
      </c>
      <c r="O963" t="str">
        <f t="shared" ref="O963:O1001" si="47">IF(J963="M","Medium",IF(J963="L","Light",IF(J963="D","Dark","")))</f>
        <v>Dark</v>
      </c>
      <c r="P963" t="str">
        <f>_xlfn.XLOOKUP(Table1[[#This Row],[Customer ID]],customers!$A$2:$A$1001,customers!$I$2:$I$1001,,0)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ID]],customers!$A$2:$A$1001,customers!$I$2:$I$1001,,0)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ID]],customers!$A$2:$A$1001,customers!$I$2:$I$1001,,0)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ID]],customers!$A$2:$A$1001,customers!$I$2:$I$1001,,0)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ID]],customers!$A$2:$A$1001,customers!$I$2:$I$1001,,0)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ID]],customers!$A$2:$A$1001,customers!$I$2:$I$1001,,0)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ID]],customers!$A$2:$A$1001,customers!$I$2:$I$1001,,0)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ID]],customers!$A$2:$A$1001,customers!$I$2:$I$1001,,0)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Librica</v>
      </c>
      <c r="O971" t="str">
        <f t="shared" si="47"/>
        <v>Dark</v>
      </c>
      <c r="P971" t="str">
        <f>_xlfn.XLOOKUP(Table1[[#This Row],[Customer ID]],customers!$A$2:$A$1001,customers!$I$2:$I$1001,,0)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ID]],customers!$A$2:$A$1001,customers!$I$2:$I$1001,,0)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ID]],customers!$A$2:$A$1001,customers!$I$2:$I$1001,,0)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ID]],customers!$A$2:$A$1001,customers!$I$2:$I$1001,,0)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Librica</v>
      </c>
      <c r="O975" t="str">
        <f t="shared" si="47"/>
        <v>Medium</v>
      </c>
      <c r="P975" t="str">
        <f>_xlfn.XLOOKUP(Table1[[#This Row],[Customer ID]],customers!$A$2:$A$1001,customers!$I$2:$I$1001,,0)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ID]],customers!$A$2:$A$1001,customers!$I$2:$I$1001,,0)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ID]],customers!$A$2:$A$1001,customers!$I$2:$I$1001,,0)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ID]],customers!$A$2:$A$1001,customers!$I$2:$I$1001,,0)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ID]],customers!$A$2:$A$1001,customers!$I$2:$I$1001,,0)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ID]],customers!$A$2:$A$1001,customers!$I$2:$I$1001,,0)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ID]],customers!$A$2:$A$1001,customers!$I$2:$I$1001,,0)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ID]],customers!$A$2:$A$1001,customers!$I$2:$I$1001,,0)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ID]],customers!$A$2:$A$1001,customers!$I$2:$I$1001,,0)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ID]],customers!$A$2:$A$1001,customers!$I$2:$I$1001,,0)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ID]],customers!$A$2:$A$1001,customers!$I$2:$I$1001,,0)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ID]],customers!$A$2:$A$1001,customers!$I$2:$I$1001,,0)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ID]],customers!$A$2:$A$1001,customers!$I$2:$I$1001,,0)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Librica</v>
      </c>
      <c r="O988" t="str">
        <f t="shared" si="47"/>
        <v>Medium</v>
      </c>
      <c r="P988" t="str">
        <f>_xlfn.XLOOKUP(Table1[[#This Row],[Customer ID]],customers!$A$2:$A$1001,customers!$I$2:$I$1001,,0)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ID]],customers!$A$2:$A$1001,customers!$I$2:$I$1001,,0)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ID]],customers!$A$2:$A$1001,customers!$I$2:$I$1001,,0)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ID]],customers!$A$2:$A$1001,customers!$I$2:$I$1001,,0)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ID]],customers!$A$2:$A$1001,customers!$I$2:$I$1001,,0)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Librica</v>
      </c>
      <c r="O993" t="str">
        <f t="shared" si="47"/>
        <v>Dark</v>
      </c>
      <c r="P993" t="str">
        <f>_xlfn.XLOOKUP(Table1[[#This Row],[Customer ID]],customers!$A$2:$A$1001,customers!$I$2:$I$1001,,0)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Librica</v>
      </c>
      <c r="O994" t="str">
        <f t="shared" si="47"/>
        <v>Light</v>
      </c>
      <c r="P994" t="str">
        <f>_xlfn.XLOOKUP(Table1[[#This Row],[Customer ID]],customers!$A$2:$A$1001,customers!$I$2:$I$1001,,0)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ID]],customers!$A$2:$A$1001,customers!$I$2:$I$1001,,0)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ID]],customers!$A$2:$A$1001,customers!$I$2:$I$1001,,0)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ID]],customers!$A$2:$A$1001,customers!$I$2:$I$1001,,0)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ID]],customers!$A$2:$A$1001,customers!$I$2:$I$1001,,0)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ID]],customers!$A$2:$A$1001,customers!$I$2:$I$1001,,0)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ID]],customers!$A$2:$A$1001,customers!$I$2:$I$1001,,0)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Areej</dc:creator>
  <cp:keywords/>
  <dc:description/>
  <cp:lastModifiedBy>Areej Mohamed Elshebly</cp:lastModifiedBy>
  <cp:revision/>
  <dcterms:created xsi:type="dcterms:W3CDTF">2022-11-26T09:51:45Z</dcterms:created>
  <dcterms:modified xsi:type="dcterms:W3CDTF">2026-02-28T12:52:47Z</dcterms:modified>
  <cp:category/>
  <cp:contentStatus/>
</cp:coreProperties>
</file>