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"/>
    </mc:Choice>
  </mc:AlternateContent>
  <xr:revisionPtr revIDLastSave="0" documentId="13_ncr:1_{BA2F4C52-2E40-4A3E-B112-0D38ECF714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7" l="1"/>
  <c r="M13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4" i="17"/>
  <c r="M5" i="17"/>
  <c r="M6" i="17"/>
  <c r="M7" i="17"/>
  <c r="M8" i="17"/>
  <c r="M9" i="17"/>
  <c r="M10" i="17"/>
  <c r="M11" i="17"/>
  <c r="M12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I3" i="17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J2" i="17"/>
  <c r="K2" i="17"/>
  <c r="L2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<sst xmlns="http://schemas.openxmlformats.org/spreadsheetml/2006/main" count="11059" uniqueCount="6198">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</sst>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6" formatCode="dd\-mmm\-yyyy"/>
    <numFmt numFmtId="167" formatCode="0.0\ &quot;kg&quot;"/>
    <numFmt numFmtId="168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0" fillId="0" borderId="0" xfId="0" applyNumberFormat="1"/>
    <xf numFmtId="168" fontId="0" fillId="0" borderId="0" xfId="0" applyNumberFormat="1"/>
    <xf numFmtId="168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8BB72267-BED1-4E34-A2E3-4DAED7F32D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topLeftCell="C870" zoomScale="115" zoomScaleNormal="115" workbookViewId="0">
      <selection activeCell="M1001" sqref="M1001"/>
    </sheetView>
  </sheetViews>
  <sheetFormatPr defaultRowHeight="14.4" x14ac:dyDescent="0.3"/>
  <cols>
    <col min="1" max="1" width="16.5546875" bestFit="1" customWidth="1"/>
    <col min="2" max="2" width="14.4414062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7.109375" customWidth="1"/>
    <col min="7" max="7" width="25.33203125" customWidth="1"/>
    <col min="8" max="8" width="14" customWidth="1"/>
    <col min="9" max="9" width="11.6640625" bestFit="1" customWidth="1"/>
    <col min="10" max="10" width="10.5546875" bestFit="1" customWidth="1"/>
    <col min="11" max="11" width="5.88671875" bestFit="1" customWidth="1"/>
    <col min="12" max="12" width="9.5546875" bestFit="1" customWidth="1"/>
    <col min="13" max="13" width="6.5546875" customWidth="1"/>
    <col min="14" max="14" width="15.88671875" customWidth="1"/>
    <col min="15" max="15" width="14.6640625" customWidth="1"/>
  </cols>
  <sheetData>
    <row r="1" spans="1:15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6" t="s">
        <v>13</v>
      </c>
      <c r="M1" s="2" t="s">
        <v>15</v>
      </c>
      <c r="N1" s="2" t="s">
        <v>6196</v>
      </c>
      <c r="O1" s="2" t="s">
        <v>6197</v>
      </c>
    </row>
    <row r="2" spans="1:15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IF(I2="Rob","Robusta",IF(I2="Exc","Excelsa",IF(I2="Ara","Arabica",IF(I2="Lib","Librica",""))))</f>
        <v>Robusta</v>
      </c>
      <c r="O2" t="str">
        <f>IF(J2="M","Medium",IF(J2="L","Light",IF(J2="D","Dark","")))</f>
        <v>Medium</v>
      </c>
    </row>
    <row r="3" spans="1:15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>L3*E3</f>
        <v>41.25</v>
      </c>
      <c r="N3" t="str">
        <f t="shared" ref="N3:N66" si="0">IF(I3="Rob","Robusta",IF(I3="Exc","Excelsa",IF(I3="Ara","Arabica",IF(I3="Lib","Librica",""))))</f>
        <v>Excelsa</v>
      </c>
      <c r="O3" t="str">
        <f t="shared" ref="O3:O66" si="1">IF(J3="M","Medium",IF(J3="L","Light",IF(J3="D","Dark","")))</f>
        <v>Medium</v>
      </c>
    </row>
    <row r="4" spans="1:15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ref="M3:M66" si="2">L4*E4</f>
        <v>12.95</v>
      </c>
      <c r="N4" t="str">
        <f t="shared" si="0"/>
        <v>Arabica</v>
      </c>
      <c r="O4" t="str">
        <f t="shared" si="1"/>
        <v>Light</v>
      </c>
    </row>
    <row r="5" spans="1:15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2"/>
        <v>27.5</v>
      </c>
      <c r="N5" t="str">
        <f t="shared" si="0"/>
        <v>Excelsa</v>
      </c>
      <c r="O5" t="str">
        <f t="shared" si="1"/>
        <v>Medium</v>
      </c>
    </row>
    <row r="6" spans="1:15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2"/>
        <v>54.969999999999992</v>
      </c>
      <c r="N6" t="str">
        <f t="shared" si="0"/>
        <v>Robusta</v>
      </c>
      <c r="O6" t="str">
        <f t="shared" si="1"/>
        <v>Light</v>
      </c>
    </row>
    <row r="7" spans="1:15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2"/>
        <v>38.849999999999994</v>
      </c>
      <c r="N7" t="str">
        <f t="shared" si="0"/>
        <v>Librica</v>
      </c>
      <c r="O7" t="str">
        <f t="shared" si="1"/>
        <v>Dark</v>
      </c>
    </row>
    <row r="8" spans="1:15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2"/>
        <v>21.87</v>
      </c>
      <c r="N8" t="str">
        <f t="shared" si="0"/>
        <v>Excelsa</v>
      </c>
      <c r="O8" t="str">
        <f t="shared" si="1"/>
        <v>Dark</v>
      </c>
    </row>
    <row r="9" spans="1:15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2"/>
        <v>4.7549999999999999</v>
      </c>
      <c r="N9" t="str">
        <f t="shared" si="0"/>
        <v>Librica</v>
      </c>
      <c r="O9" t="str">
        <f t="shared" si="1"/>
        <v>Light</v>
      </c>
    </row>
    <row r="10" spans="1:15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2"/>
        <v>17.91</v>
      </c>
      <c r="N10" t="str">
        <f t="shared" si="0"/>
        <v>Robusta</v>
      </c>
      <c r="O10" t="str">
        <f t="shared" si="1"/>
        <v>Medium</v>
      </c>
    </row>
    <row r="11" spans="1:15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2"/>
        <v>5.97</v>
      </c>
      <c r="N11" t="str">
        <f t="shared" si="0"/>
        <v>Robusta</v>
      </c>
      <c r="O11" t="str">
        <f t="shared" si="1"/>
        <v>Medium</v>
      </c>
    </row>
    <row r="12" spans="1:15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2"/>
        <v>39.799999999999997</v>
      </c>
      <c r="N12" t="str">
        <f t="shared" si="0"/>
        <v>Arabica</v>
      </c>
      <c r="O12" t="str">
        <f t="shared" si="1"/>
        <v>Dark</v>
      </c>
    </row>
    <row r="13" spans="1:15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2"/>
        <v>170.77499999999998</v>
      </c>
      <c r="N13" t="str">
        <f t="shared" si="0"/>
        <v>Excelsa</v>
      </c>
      <c r="O13" t="str">
        <f t="shared" si="1"/>
        <v>Light</v>
      </c>
    </row>
    <row r="14" spans="1:15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2"/>
        <v>49.75</v>
      </c>
      <c r="N14" t="str">
        <f t="shared" si="0"/>
        <v>Robusta</v>
      </c>
      <c r="O14" t="str">
        <f t="shared" si="1"/>
        <v>Medium</v>
      </c>
    </row>
    <row r="15" spans="1:15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2"/>
        <v>41.169999999999995</v>
      </c>
      <c r="N15" t="str">
        <f t="shared" si="0"/>
        <v>Robusta</v>
      </c>
      <c r="O15" t="str">
        <f t="shared" si="1"/>
        <v>Dark</v>
      </c>
    </row>
    <row r="16" spans="1:15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2"/>
        <v>11.654999999999999</v>
      </c>
      <c r="N16" t="str">
        <f t="shared" si="0"/>
        <v>Librica</v>
      </c>
      <c r="O16" t="str">
        <f t="shared" si="1"/>
        <v>Dark</v>
      </c>
    </row>
    <row r="17" spans="1:15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2"/>
        <v>114.42499999999998</v>
      </c>
      <c r="N17" t="str">
        <f t="shared" si="0"/>
        <v>Robusta</v>
      </c>
      <c r="O17" t="str">
        <f t="shared" si="1"/>
        <v>Medium</v>
      </c>
    </row>
    <row r="18" spans="1:15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2"/>
        <v>20.25</v>
      </c>
      <c r="N18" t="str">
        <f t="shared" si="0"/>
        <v>Arabica</v>
      </c>
      <c r="O18" t="str">
        <f t="shared" si="1"/>
        <v>Medium</v>
      </c>
    </row>
    <row r="19" spans="1:15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2"/>
        <v>77.699999999999989</v>
      </c>
      <c r="N19" t="str">
        <f t="shared" si="0"/>
        <v>Arabica</v>
      </c>
      <c r="O19" t="str">
        <f t="shared" si="1"/>
        <v>Light</v>
      </c>
    </row>
    <row r="20" spans="1:15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2"/>
        <v>82.339999999999989</v>
      </c>
      <c r="N20" t="str">
        <f t="shared" si="0"/>
        <v>Robusta</v>
      </c>
      <c r="O20" t="str">
        <f t="shared" si="1"/>
        <v>Dark</v>
      </c>
    </row>
    <row r="21" spans="1:15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2"/>
        <v>16.875</v>
      </c>
      <c r="N21" t="str">
        <f t="shared" si="0"/>
        <v>Arabica</v>
      </c>
      <c r="O21" t="str">
        <f t="shared" si="1"/>
        <v>Medium</v>
      </c>
    </row>
    <row r="22" spans="1:15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2"/>
        <v>14.58</v>
      </c>
      <c r="N22" t="str">
        <f t="shared" si="0"/>
        <v>Excelsa</v>
      </c>
      <c r="O22" t="str">
        <f t="shared" si="1"/>
        <v>Dark</v>
      </c>
    </row>
    <row r="23" spans="1:15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2"/>
        <v>17.91</v>
      </c>
      <c r="N23" t="str">
        <f t="shared" si="0"/>
        <v>Arabica</v>
      </c>
      <c r="O23" t="str">
        <f t="shared" si="1"/>
        <v>Dark</v>
      </c>
    </row>
    <row r="24" spans="1:15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2"/>
        <v>91.539999999999992</v>
      </c>
      <c r="N24" t="str">
        <f t="shared" si="0"/>
        <v>Robusta</v>
      </c>
      <c r="O24" t="str">
        <f t="shared" si="1"/>
        <v>Medium</v>
      </c>
    </row>
    <row r="25" spans="1:15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2"/>
        <v>11.94</v>
      </c>
      <c r="N25" t="str">
        <f t="shared" si="0"/>
        <v>Arabica</v>
      </c>
      <c r="O25" t="str">
        <f t="shared" si="1"/>
        <v>Dark</v>
      </c>
    </row>
    <row r="26" spans="1:15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2"/>
        <v>11.25</v>
      </c>
      <c r="N26" t="str">
        <f t="shared" si="0"/>
        <v>Arabica</v>
      </c>
      <c r="O26" t="str">
        <f t="shared" si="1"/>
        <v>Medium</v>
      </c>
    </row>
    <row r="27" spans="1:15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2"/>
        <v>12.375</v>
      </c>
      <c r="N27" t="str">
        <f t="shared" si="0"/>
        <v>Excelsa</v>
      </c>
      <c r="O27" t="str">
        <f t="shared" si="1"/>
        <v>Medium</v>
      </c>
    </row>
    <row r="28" spans="1:15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2"/>
        <v>27</v>
      </c>
      <c r="N28" t="str">
        <f t="shared" si="0"/>
        <v>Arabica</v>
      </c>
      <c r="O28" t="str">
        <f t="shared" si="1"/>
        <v>Medium</v>
      </c>
    </row>
    <row r="29" spans="1:15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2"/>
        <v>16.875</v>
      </c>
      <c r="N29" t="str">
        <f t="shared" si="0"/>
        <v>Arabica</v>
      </c>
      <c r="O29" t="str">
        <f t="shared" si="1"/>
        <v>Medium</v>
      </c>
    </row>
    <row r="30" spans="1:15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2"/>
        <v>17.91</v>
      </c>
      <c r="N30" t="str">
        <f t="shared" si="0"/>
        <v>Arabica</v>
      </c>
      <c r="O30" t="str">
        <f t="shared" si="1"/>
        <v>Dark</v>
      </c>
    </row>
    <row r="31" spans="1:15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2"/>
        <v>39.799999999999997</v>
      </c>
      <c r="N31" t="str">
        <f t="shared" si="0"/>
        <v>Arabica</v>
      </c>
      <c r="O31" t="str">
        <f t="shared" si="1"/>
        <v>Dark</v>
      </c>
    </row>
    <row r="32" spans="1:15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2"/>
        <v>21.825000000000003</v>
      </c>
      <c r="N32" t="str">
        <f t="shared" si="0"/>
        <v>Librica</v>
      </c>
      <c r="O32" t="str">
        <f t="shared" si="1"/>
        <v>Medium</v>
      </c>
    </row>
    <row r="33" spans="1:15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2"/>
        <v>35.82</v>
      </c>
      <c r="N33" t="str">
        <f t="shared" si="0"/>
        <v>Arabica</v>
      </c>
      <c r="O33" t="str">
        <f t="shared" si="1"/>
        <v>Dark</v>
      </c>
    </row>
    <row r="34" spans="1:15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2"/>
        <v>52.38</v>
      </c>
      <c r="N34" t="str">
        <f t="shared" si="0"/>
        <v>Librica</v>
      </c>
      <c r="O34" t="str">
        <f t="shared" si="1"/>
        <v>Medium</v>
      </c>
    </row>
    <row r="35" spans="1:15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2"/>
        <v>23.774999999999999</v>
      </c>
      <c r="N35" t="str">
        <f t="shared" si="0"/>
        <v>Librica</v>
      </c>
      <c r="O35" t="str">
        <f t="shared" si="1"/>
        <v>Light</v>
      </c>
    </row>
    <row r="36" spans="1:15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2"/>
        <v>57.06</v>
      </c>
      <c r="N36" t="str">
        <f t="shared" si="0"/>
        <v>Librica</v>
      </c>
      <c r="O36" t="str">
        <f t="shared" si="1"/>
        <v>Light</v>
      </c>
    </row>
    <row r="37" spans="1:15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2"/>
        <v>35.82</v>
      </c>
      <c r="N37" t="str">
        <f t="shared" si="0"/>
        <v>Arabica</v>
      </c>
      <c r="O37" t="str">
        <f t="shared" si="1"/>
        <v>Dark</v>
      </c>
    </row>
    <row r="38" spans="1:15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2"/>
        <v>8.73</v>
      </c>
      <c r="N38" t="str">
        <f t="shared" si="0"/>
        <v>Librica</v>
      </c>
      <c r="O38" t="str">
        <f t="shared" si="1"/>
        <v>Medium</v>
      </c>
    </row>
    <row r="39" spans="1:15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2"/>
        <v>28.53</v>
      </c>
      <c r="N39" t="str">
        <f t="shared" si="0"/>
        <v>Librica</v>
      </c>
      <c r="O39" t="str">
        <f t="shared" si="1"/>
        <v>Light</v>
      </c>
    </row>
    <row r="40" spans="1:15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2"/>
        <v>114.42499999999998</v>
      </c>
      <c r="N40" t="str">
        <f t="shared" si="0"/>
        <v>Robusta</v>
      </c>
      <c r="O40" t="str">
        <f t="shared" si="1"/>
        <v>Medium</v>
      </c>
    </row>
    <row r="41" spans="1:15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2"/>
        <v>59.699999999999996</v>
      </c>
      <c r="N41" t="str">
        <f t="shared" si="0"/>
        <v>Robusta</v>
      </c>
      <c r="O41" t="str">
        <f t="shared" si="1"/>
        <v>Medium</v>
      </c>
    </row>
    <row r="42" spans="1:15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2"/>
        <v>43.650000000000006</v>
      </c>
      <c r="N42" t="str">
        <f t="shared" si="0"/>
        <v>Librica</v>
      </c>
      <c r="O42" t="str">
        <f t="shared" si="1"/>
        <v>Medium</v>
      </c>
    </row>
    <row r="43" spans="1:15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2"/>
        <v>7.29</v>
      </c>
      <c r="N43" t="str">
        <f t="shared" si="0"/>
        <v>Excelsa</v>
      </c>
      <c r="O43" t="str">
        <f t="shared" si="1"/>
        <v>Dark</v>
      </c>
    </row>
    <row r="44" spans="1:15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2"/>
        <v>8.0549999999999997</v>
      </c>
      <c r="N44" t="str">
        <f t="shared" si="0"/>
        <v>Robusta</v>
      </c>
      <c r="O44" t="str">
        <f t="shared" si="1"/>
        <v>Dark</v>
      </c>
    </row>
    <row r="45" spans="1:15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2"/>
        <v>72.91</v>
      </c>
      <c r="N45" t="str">
        <f t="shared" si="0"/>
        <v>Librica</v>
      </c>
      <c r="O45" t="str">
        <f t="shared" si="1"/>
        <v>Light</v>
      </c>
    </row>
    <row r="46" spans="1:15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2"/>
        <v>16.5</v>
      </c>
      <c r="N46" t="str">
        <f t="shared" si="0"/>
        <v>Excelsa</v>
      </c>
      <c r="O46" t="str">
        <f t="shared" si="1"/>
        <v>Medium</v>
      </c>
    </row>
    <row r="47" spans="1:15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2"/>
        <v>178.70999999999998</v>
      </c>
      <c r="N47" t="str">
        <f t="shared" si="0"/>
        <v>Librica</v>
      </c>
      <c r="O47" t="str">
        <f t="shared" si="1"/>
        <v>Dark</v>
      </c>
    </row>
    <row r="48" spans="1:15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2"/>
        <v>63.249999999999993</v>
      </c>
      <c r="N48" t="str">
        <f t="shared" si="0"/>
        <v>Excelsa</v>
      </c>
      <c r="O48" t="str">
        <f t="shared" si="1"/>
        <v>Medium</v>
      </c>
    </row>
    <row r="49" spans="1:15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2"/>
        <v>7.77</v>
      </c>
      <c r="N49" t="str">
        <f t="shared" si="0"/>
        <v>Arabica</v>
      </c>
      <c r="O49" t="str">
        <f t="shared" si="1"/>
        <v>Light</v>
      </c>
    </row>
    <row r="50" spans="1:15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2"/>
        <v>91.539999999999992</v>
      </c>
      <c r="N50" t="str">
        <f t="shared" si="0"/>
        <v>Arabica</v>
      </c>
      <c r="O50" t="str">
        <f t="shared" si="1"/>
        <v>Dark</v>
      </c>
    </row>
    <row r="51" spans="1:15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2"/>
        <v>38.849999999999994</v>
      </c>
      <c r="N51" t="str">
        <f t="shared" si="0"/>
        <v>Arabica</v>
      </c>
      <c r="O51" t="str">
        <f t="shared" si="1"/>
        <v>Light</v>
      </c>
    </row>
    <row r="52" spans="1:15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2"/>
        <v>15.54</v>
      </c>
      <c r="N52" t="str">
        <f t="shared" si="0"/>
        <v>Librica</v>
      </c>
      <c r="O52" t="str">
        <f t="shared" si="1"/>
        <v>Dark</v>
      </c>
    </row>
    <row r="53" spans="1:15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2"/>
        <v>145.82</v>
      </c>
      <c r="N53" t="str">
        <f t="shared" si="0"/>
        <v>Librica</v>
      </c>
      <c r="O53" t="str">
        <f t="shared" si="1"/>
        <v>Light</v>
      </c>
    </row>
    <row r="54" spans="1:15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2"/>
        <v>29.849999999999998</v>
      </c>
      <c r="N54" t="str">
        <f t="shared" si="0"/>
        <v>Robusta</v>
      </c>
      <c r="O54" t="str">
        <f t="shared" si="1"/>
        <v>Medium</v>
      </c>
    </row>
    <row r="55" spans="1:15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2"/>
        <v>72.91</v>
      </c>
      <c r="N55" t="str">
        <f t="shared" si="0"/>
        <v>Librica</v>
      </c>
      <c r="O55" t="str">
        <f t="shared" si="1"/>
        <v>Light</v>
      </c>
    </row>
    <row r="56" spans="1:15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2"/>
        <v>72.75</v>
      </c>
      <c r="N56" t="str">
        <f t="shared" si="0"/>
        <v>Librica</v>
      </c>
      <c r="O56" t="str">
        <f t="shared" si="1"/>
        <v>Medium</v>
      </c>
    </row>
    <row r="57" spans="1:15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2"/>
        <v>47.55</v>
      </c>
      <c r="N57" t="str">
        <f t="shared" si="0"/>
        <v>Librica</v>
      </c>
      <c r="O57" t="str">
        <f t="shared" si="1"/>
        <v>Light</v>
      </c>
    </row>
    <row r="58" spans="1:15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2"/>
        <v>10.935</v>
      </c>
      <c r="N58" t="str">
        <f t="shared" si="0"/>
        <v>Excelsa</v>
      </c>
      <c r="O58" t="str">
        <f t="shared" si="1"/>
        <v>Dark</v>
      </c>
    </row>
    <row r="59" spans="1:15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2"/>
        <v>59.4</v>
      </c>
      <c r="N59" t="str">
        <f t="shared" si="0"/>
        <v>Excelsa</v>
      </c>
      <c r="O59" t="str">
        <f t="shared" si="1"/>
        <v>Light</v>
      </c>
    </row>
    <row r="60" spans="1:15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2"/>
        <v>89.35499999999999</v>
      </c>
      <c r="N60" t="str">
        <f t="shared" si="0"/>
        <v>Librica</v>
      </c>
      <c r="O60" t="str">
        <f t="shared" si="1"/>
        <v>Dark</v>
      </c>
    </row>
    <row r="61" spans="1:15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2"/>
        <v>26.19</v>
      </c>
      <c r="N61" t="str">
        <f t="shared" si="0"/>
        <v>Librica</v>
      </c>
      <c r="O61" t="str">
        <f t="shared" si="1"/>
        <v>Medium</v>
      </c>
    </row>
    <row r="62" spans="1:15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2"/>
        <v>114.42499999999998</v>
      </c>
      <c r="N62" t="str">
        <f t="shared" si="0"/>
        <v>Arabica</v>
      </c>
      <c r="O62" t="str">
        <f t="shared" si="1"/>
        <v>Dark</v>
      </c>
    </row>
    <row r="63" spans="1:15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2"/>
        <v>26.849999999999994</v>
      </c>
      <c r="N63" t="str">
        <f t="shared" si="0"/>
        <v>Robusta</v>
      </c>
      <c r="O63" t="str">
        <f t="shared" si="1"/>
        <v>Dark</v>
      </c>
    </row>
    <row r="64" spans="1:15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2"/>
        <v>23.774999999999999</v>
      </c>
      <c r="N64" t="str">
        <f t="shared" si="0"/>
        <v>Librica</v>
      </c>
      <c r="O64" t="str">
        <f t="shared" si="1"/>
        <v>Light</v>
      </c>
    </row>
    <row r="65" spans="1:15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2"/>
        <v>6.75</v>
      </c>
      <c r="N65" t="str">
        <f t="shared" si="0"/>
        <v>Arabica</v>
      </c>
      <c r="O65" t="str">
        <f t="shared" si="1"/>
        <v>Medium</v>
      </c>
    </row>
    <row r="66" spans="1:15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2"/>
        <v>35.82</v>
      </c>
      <c r="N66" t="str">
        <f t="shared" si="0"/>
        <v>Robusta</v>
      </c>
      <c r="O66" t="str">
        <f t="shared" si="1"/>
        <v>Medium</v>
      </c>
    </row>
    <row r="67" spans="1:15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IF(I67="Rob","Robusta",IF(I67="Exc","Excelsa",IF(I67="Ara","Arabica",IF(I67="Lib","Librica",""))))</f>
        <v>Robusta</v>
      </c>
      <c r="O67" t="str">
        <f t="shared" ref="O67:O130" si="5">IF(J67="M","Medium",IF(J67="L","Light",IF(J67="D","Dark","")))</f>
        <v>Dark</v>
      </c>
    </row>
    <row r="68" spans="1:15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</row>
    <row r="69" spans="1:15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Librica</v>
      </c>
      <c r="O69" t="str">
        <f t="shared" si="5"/>
        <v>Light</v>
      </c>
    </row>
    <row r="70" spans="1:15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Librica</v>
      </c>
      <c r="O73" t="str">
        <f t="shared" si="5"/>
        <v>Light</v>
      </c>
    </row>
    <row r="74" spans="1:15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Librica</v>
      </c>
      <c r="O75" t="str">
        <f t="shared" si="5"/>
        <v>Medium</v>
      </c>
    </row>
    <row r="76" spans="1:15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Librica</v>
      </c>
      <c r="O83" t="str">
        <f t="shared" si="5"/>
        <v>Light</v>
      </c>
    </row>
    <row r="84" spans="1:15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Librica</v>
      </c>
      <c r="O84" t="str">
        <f t="shared" si="5"/>
        <v>Medium</v>
      </c>
    </row>
    <row r="85" spans="1:15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Librica</v>
      </c>
      <c r="O86" t="str">
        <f t="shared" si="5"/>
        <v>Light</v>
      </c>
    </row>
    <row r="87" spans="1:15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Librica</v>
      </c>
      <c r="O101" t="str">
        <f t="shared" si="5"/>
        <v>Medium</v>
      </c>
    </row>
    <row r="102" spans="1:15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Librica</v>
      </c>
      <c r="O103" t="str">
        <f t="shared" si="5"/>
        <v>Dark</v>
      </c>
    </row>
    <row r="104" spans="1:15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Librica</v>
      </c>
      <c r="O104" t="str">
        <f t="shared" si="5"/>
        <v>Dark</v>
      </c>
    </row>
    <row r="105" spans="1:15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Librica</v>
      </c>
      <c r="O106" t="str">
        <f t="shared" si="5"/>
        <v>Medium</v>
      </c>
    </row>
    <row r="107" spans="1:15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Librica</v>
      </c>
      <c r="O111" t="str">
        <f t="shared" si="5"/>
        <v>Dark</v>
      </c>
    </row>
    <row r="112" spans="1:15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Librica</v>
      </c>
      <c r="O115" t="str">
        <f t="shared" si="5"/>
        <v>Medium</v>
      </c>
    </row>
    <row r="116" spans="1:15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Librica</v>
      </c>
      <c r="O117" t="str">
        <f t="shared" si="5"/>
        <v>Light</v>
      </c>
    </row>
    <row r="118" spans="1:15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Librica</v>
      </c>
      <c r="O118" t="str">
        <f t="shared" si="5"/>
        <v>Light</v>
      </c>
    </row>
    <row r="119" spans="1:15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Librica</v>
      </c>
      <c r="O119" t="str">
        <f t="shared" si="5"/>
        <v>Light</v>
      </c>
    </row>
    <row r="120" spans="1:15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Librica</v>
      </c>
      <c r="O125" t="str">
        <f t="shared" si="5"/>
        <v>Light</v>
      </c>
    </row>
    <row r="126" spans="1:15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Librica</v>
      </c>
      <c r="O126" t="str">
        <f t="shared" si="5"/>
        <v>Medium</v>
      </c>
    </row>
    <row r="127" spans="1:15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Librica</v>
      </c>
      <c r="O127" t="str">
        <f t="shared" si="5"/>
        <v>Medium</v>
      </c>
    </row>
    <row r="128" spans="1:15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Librica</v>
      </c>
      <c r="O129" t="str">
        <f t="shared" si="5"/>
        <v>Dark</v>
      </c>
    </row>
    <row r="130" spans="1:15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IF(I131="Rob","Robusta",IF(I131="Exc","Excelsa",IF(I131="Ara","Arabica",IF(I131="Lib","Librica",""))))</f>
        <v>Excelsa</v>
      </c>
      <c r="O131" t="str">
        <f t="shared" ref="O131:O194" si="8">IF(J131="M","Medium",IF(J131="L","Light",IF(J131="D","Dark","")))</f>
        <v>Dark</v>
      </c>
    </row>
    <row r="132" spans="1:15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</row>
    <row r="133" spans="1:15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</row>
    <row r="134" spans="1:15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Librica</v>
      </c>
      <c r="O135" t="str">
        <f t="shared" si="8"/>
        <v>Dark</v>
      </c>
    </row>
    <row r="136" spans="1:15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Librica</v>
      </c>
      <c r="O141" t="str">
        <f t="shared" si="8"/>
        <v>Dark</v>
      </c>
    </row>
    <row r="142" spans="1:15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Librica</v>
      </c>
      <c r="O142" t="str">
        <f t="shared" si="8"/>
        <v>Dark</v>
      </c>
    </row>
    <row r="143" spans="1:15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Librica</v>
      </c>
      <c r="O145" t="str">
        <f t="shared" si="8"/>
        <v>Medium</v>
      </c>
    </row>
    <row r="146" spans="1:15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Librica</v>
      </c>
      <c r="O147" t="str">
        <f t="shared" si="8"/>
        <v>Medium</v>
      </c>
    </row>
    <row r="148" spans="1:15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Librica</v>
      </c>
      <c r="O148" t="str">
        <f t="shared" si="8"/>
        <v>Medium</v>
      </c>
    </row>
    <row r="149" spans="1:15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Librica</v>
      </c>
      <c r="O152" t="str">
        <f t="shared" si="8"/>
        <v>Dark</v>
      </c>
    </row>
    <row r="153" spans="1:15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Librica</v>
      </c>
      <c r="O161" t="str">
        <f t="shared" si="8"/>
        <v>Light</v>
      </c>
    </row>
    <row r="162" spans="1:15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Librica</v>
      </c>
      <c r="O189" t="str">
        <f t="shared" si="8"/>
        <v>Medium</v>
      </c>
    </row>
    <row r="190" spans="1:15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Librica</v>
      </c>
      <c r="O191" t="str">
        <f t="shared" si="8"/>
        <v>Medium</v>
      </c>
    </row>
    <row r="192" spans="1:15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Librica</v>
      </c>
      <c r="O192" t="str">
        <f t="shared" si="8"/>
        <v>Medium</v>
      </c>
    </row>
    <row r="193" spans="1:15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Librica</v>
      </c>
      <c r="O193" t="str">
        <f t="shared" si="8"/>
        <v>Dark</v>
      </c>
    </row>
    <row r="194" spans="1:15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IF(I195="Rob","Robusta",IF(I195="Exc","Excelsa",IF(I195="Ara","Arabica",IF(I195="Lib","Librica",""))))</f>
        <v>Excelsa</v>
      </c>
      <c r="O195" t="str">
        <f t="shared" ref="O195:O258" si="11">IF(J195="M","Medium",IF(J195="L","Light",IF(J195="D","Dark","")))</f>
        <v>Light</v>
      </c>
    </row>
    <row r="196" spans="1:15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</row>
    <row r="197" spans="1:15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</row>
    <row r="198" spans="1:15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Librica</v>
      </c>
      <c r="O199" t="str">
        <f t="shared" si="11"/>
        <v>Dark</v>
      </c>
    </row>
    <row r="200" spans="1:15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Librica</v>
      </c>
      <c r="O200" t="str">
        <f t="shared" si="11"/>
        <v>Dark</v>
      </c>
    </row>
    <row r="201" spans="1:15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Librica</v>
      </c>
      <c r="O201" t="str">
        <f t="shared" si="11"/>
        <v>Light</v>
      </c>
    </row>
    <row r="202" spans="1:15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Librica</v>
      </c>
      <c r="O203" t="str">
        <f t="shared" si="11"/>
        <v>Light</v>
      </c>
    </row>
    <row r="204" spans="1:15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Librica</v>
      </c>
      <c r="O204" t="str">
        <f t="shared" si="11"/>
        <v>Dark</v>
      </c>
    </row>
    <row r="205" spans="1:15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Librica</v>
      </c>
      <c r="O205" t="str">
        <f t="shared" si="11"/>
        <v>Light</v>
      </c>
    </row>
    <row r="206" spans="1:15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Librica</v>
      </c>
      <c r="O212" t="str">
        <f t="shared" si="11"/>
        <v>Dark</v>
      </c>
    </row>
    <row r="213" spans="1:15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Librica</v>
      </c>
      <c r="O216" t="str">
        <f t="shared" si="11"/>
        <v>Light</v>
      </c>
    </row>
    <row r="217" spans="1:15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Librica</v>
      </c>
      <c r="O217" t="str">
        <f t="shared" si="11"/>
        <v>Dark</v>
      </c>
    </row>
    <row r="218" spans="1:15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Librica</v>
      </c>
      <c r="O218" t="str">
        <f t="shared" si="11"/>
        <v>Medium</v>
      </c>
    </row>
    <row r="219" spans="1:15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Librica</v>
      </c>
      <c r="O224" t="str">
        <f t="shared" si="11"/>
        <v>Dark</v>
      </c>
    </row>
    <row r="225" spans="1:15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Librica</v>
      </c>
      <c r="O226" t="str">
        <f t="shared" si="11"/>
        <v>Dark</v>
      </c>
    </row>
    <row r="227" spans="1:15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Librica</v>
      </c>
      <c r="O231" t="str">
        <f t="shared" si="11"/>
        <v>Medium</v>
      </c>
    </row>
    <row r="232" spans="1:15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Librica</v>
      </c>
      <c r="O233" t="str">
        <f t="shared" si="11"/>
        <v>Medium</v>
      </c>
    </row>
    <row r="234" spans="1:15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Librica</v>
      </c>
      <c r="O234" t="str">
        <f t="shared" si="11"/>
        <v>Light</v>
      </c>
    </row>
    <row r="235" spans="1:15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Librica</v>
      </c>
      <c r="O236" t="str">
        <f t="shared" si="11"/>
        <v>Light</v>
      </c>
    </row>
    <row r="237" spans="1:15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Librica</v>
      </c>
      <c r="O237" t="str">
        <f t="shared" si="11"/>
        <v>Light</v>
      </c>
    </row>
    <row r="238" spans="1:15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Librica</v>
      </c>
      <c r="O238" t="str">
        <f t="shared" si="11"/>
        <v>Dark</v>
      </c>
    </row>
    <row r="239" spans="1:15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Librica</v>
      </c>
      <c r="O246" t="str">
        <f t="shared" si="11"/>
        <v>Medium</v>
      </c>
    </row>
    <row r="247" spans="1:15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Librica</v>
      </c>
      <c r="O247" t="str">
        <f t="shared" si="11"/>
        <v>Light</v>
      </c>
    </row>
    <row r="248" spans="1:15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Librica</v>
      </c>
      <c r="O248" t="str">
        <f t="shared" si="11"/>
        <v>Dark</v>
      </c>
    </row>
    <row r="249" spans="1:15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Librica</v>
      </c>
      <c r="O251" t="str">
        <f t="shared" si="11"/>
        <v>Light</v>
      </c>
    </row>
    <row r="252" spans="1:15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Librica</v>
      </c>
      <c r="O255" t="str">
        <f t="shared" si="11"/>
        <v>Medium</v>
      </c>
    </row>
    <row r="256" spans="1:15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Librica</v>
      </c>
      <c r="O258" t="str">
        <f t="shared" si="11"/>
        <v>Medium</v>
      </c>
    </row>
    <row r="259" spans="1:15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IF(I259="Rob","Robusta",IF(I259="Exc","Excelsa",IF(I259="Ara","Arabica",IF(I259="Lib","Librica",""))))</f>
        <v>Excelsa</v>
      </c>
      <c r="O259" t="str">
        <f t="shared" ref="O259:O322" si="14">IF(J259="M","Medium",IF(J259="L","Light",IF(J259="D","Dark","")))</f>
        <v>Dark</v>
      </c>
    </row>
    <row r="260" spans="1:15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</row>
    <row r="261" spans="1:15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</row>
    <row r="262" spans="1:15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Librica</v>
      </c>
      <c r="O265" t="str">
        <f t="shared" si="14"/>
        <v>Medium</v>
      </c>
    </row>
    <row r="266" spans="1:15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Librica</v>
      </c>
      <c r="O281" t="str">
        <f t="shared" si="14"/>
        <v>Medium</v>
      </c>
    </row>
    <row r="282" spans="1:15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Librica</v>
      </c>
      <c r="O287" t="str">
        <f t="shared" si="14"/>
        <v>Light</v>
      </c>
    </row>
    <row r="288" spans="1:15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Librica</v>
      </c>
      <c r="O303" t="str">
        <f t="shared" si="14"/>
        <v>Dark</v>
      </c>
    </row>
    <row r="304" spans="1:15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Librica</v>
      </c>
      <c r="O307" t="str">
        <f t="shared" si="14"/>
        <v>Medium</v>
      </c>
    </row>
    <row r="308" spans="1:15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Librica</v>
      </c>
      <c r="O311" t="str">
        <f t="shared" si="14"/>
        <v>Medium</v>
      </c>
    </row>
    <row r="312" spans="1:15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IF(I323="Rob","Robusta",IF(I323="Exc","Excelsa",IF(I323="Ara","Arabica",IF(I323="Lib","Librica",""))))</f>
        <v>Arabica</v>
      </c>
      <c r="O323" t="str">
        <f t="shared" ref="O323:O386" si="17">IF(J323="M","Medium",IF(J323="L","Light",IF(J323="D","Dark","")))</f>
        <v>Medium</v>
      </c>
    </row>
    <row r="324" spans="1:15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Librica</v>
      </c>
      <c r="O324" t="str">
        <f t="shared" si="17"/>
        <v>Dark</v>
      </c>
    </row>
    <row r="325" spans="1:15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</row>
    <row r="326" spans="1:15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Librica</v>
      </c>
      <c r="O330" t="str">
        <f t="shared" si="17"/>
        <v>Light</v>
      </c>
    </row>
    <row r="331" spans="1:15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Librica</v>
      </c>
      <c r="O337" t="str">
        <f t="shared" si="17"/>
        <v>Light</v>
      </c>
    </row>
    <row r="338" spans="1:15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Librica</v>
      </c>
      <c r="O344" t="str">
        <f t="shared" si="17"/>
        <v>Dark</v>
      </c>
    </row>
    <row r="345" spans="1:15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Librica</v>
      </c>
      <c r="O349" t="str">
        <f t="shared" si="17"/>
        <v>Medium</v>
      </c>
    </row>
    <row r="350" spans="1:15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Librica</v>
      </c>
      <c r="O358" t="str">
        <f t="shared" si="17"/>
        <v>Dark</v>
      </c>
    </row>
    <row r="359" spans="1:15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Librica</v>
      </c>
      <c r="O365" t="str">
        <f t="shared" si="17"/>
        <v>Medium</v>
      </c>
    </row>
    <row r="366" spans="1:15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Librica</v>
      </c>
      <c r="O367" t="str">
        <f t="shared" si="17"/>
        <v>Dark</v>
      </c>
    </row>
    <row r="368" spans="1:15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Librica</v>
      </c>
      <c r="O369" t="str">
        <f t="shared" si="17"/>
        <v>Medium</v>
      </c>
    </row>
    <row r="370" spans="1:15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Librica</v>
      </c>
      <c r="O376" t="str">
        <f t="shared" si="17"/>
        <v>Light</v>
      </c>
    </row>
    <row r="377" spans="1:15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Librica</v>
      </c>
      <c r="O382" t="str">
        <f t="shared" si="17"/>
        <v>Dark</v>
      </c>
    </row>
    <row r="383" spans="1:15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IF(I387="Rob","Robusta",IF(I387="Exc","Excelsa",IF(I387="Ara","Arabica",IF(I387="Lib","Librica",""))))</f>
        <v>Librica</v>
      </c>
      <c r="O387" t="str">
        <f t="shared" ref="O387:O450" si="20">IF(J387="M","Medium",IF(J387="L","Light",IF(J387="D","Dark","")))</f>
        <v>Medium</v>
      </c>
    </row>
    <row r="388" spans="1:15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</row>
    <row r="389" spans="1:15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</row>
    <row r="390" spans="1:15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Librica</v>
      </c>
      <c r="O390" t="str">
        <f t="shared" si="20"/>
        <v>Dark</v>
      </c>
    </row>
    <row r="391" spans="1:15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Librica</v>
      </c>
      <c r="O391" t="str">
        <f t="shared" si="20"/>
        <v>Dark</v>
      </c>
    </row>
    <row r="392" spans="1:15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Librica</v>
      </c>
      <c r="O397" t="str">
        <f t="shared" si="20"/>
        <v>Dark</v>
      </c>
    </row>
    <row r="398" spans="1:15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Librica</v>
      </c>
      <c r="O399" t="str">
        <f t="shared" si="20"/>
        <v>Dark</v>
      </c>
    </row>
    <row r="400" spans="1:15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Librica</v>
      </c>
      <c r="O402" t="str">
        <f t="shared" si="20"/>
        <v>Light</v>
      </c>
    </row>
    <row r="403" spans="1:15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Librica</v>
      </c>
      <c r="O403" t="str">
        <f t="shared" si="20"/>
        <v>Medium</v>
      </c>
    </row>
    <row r="404" spans="1:15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Librica</v>
      </c>
      <c r="O405" t="str">
        <f t="shared" si="20"/>
        <v>Light</v>
      </c>
    </row>
    <row r="406" spans="1:15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Librica</v>
      </c>
      <c r="O411" t="str">
        <f t="shared" si="20"/>
        <v>Light</v>
      </c>
    </row>
    <row r="412" spans="1:15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Librica</v>
      </c>
      <c r="O413" t="str">
        <f t="shared" si="20"/>
        <v>Medium</v>
      </c>
    </row>
    <row r="414" spans="1:15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Librica</v>
      </c>
      <c r="O415" t="str">
        <f t="shared" si="20"/>
        <v>Light</v>
      </c>
    </row>
    <row r="416" spans="1:15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Librica</v>
      </c>
      <c r="O421" t="str">
        <f t="shared" si="20"/>
        <v>Medium</v>
      </c>
    </row>
    <row r="422" spans="1:15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Librica</v>
      </c>
      <c r="O422" t="str">
        <f t="shared" si="20"/>
        <v>Dark</v>
      </c>
    </row>
    <row r="423" spans="1:15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Librica</v>
      </c>
      <c r="O435" t="str">
        <f t="shared" si="20"/>
        <v>Medium</v>
      </c>
    </row>
    <row r="436" spans="1:15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Librica</v>
      </c>
      <c r="O438" t="str">
        <f t="shared" si="20"/>
        <v>Light</v>
      </c>
    </row>
    <row r="439" spans="1:15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Librica</v>
      </c>
      <c r="O439" t="str">
        <f t="shared" si="20"/>
        <v>Dark</v>
      </c>
    </row>
    <row r="440" spans="1:15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Librica</v>
      </c>
      <c r="O440" t="str">
        <f t="shared" si="20"/>
        <v>Dark</v>
      </c>
    </row>
    <row r="441" spans="1:15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Librica</v>
      </c>
      <c r="O447" t="str">
        <f t="shared" si="20"/>
        <v>Medium</v>
      </c>
    </row>
    <row r="448" spans="1:15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Librica</v>
      </c>
      <c r="O448" t="str">
        <f t="shared" si="20"/>
        <v>Medium</v>
      </c>
    </row>
    <row r="449" spans="1:15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IF(I451="Rob","Robusta",IF(I451="Exc","Excelsa",IF(I451="Ara","Arabica",IF(I451="Lib","Librica",""))))</f>
        <v>Robusta</v>
      </c>
      <c r="O451" t="str">
        <f t="shared" ref="O451:O514" si="23">IF(J451="M","Medium",IF(J451="L","Light",IF(J451="D","Dark","")))</f>
        <v>Dark</v>
      </c>
    </row>
    <row r="452" spans="1:15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Librica</v>
      </c>
      <c r="O452" t="str">
        <f t="shared" si="23"/>
        <v>Light</v>
      </c>
    </row>
    <row r="453" spans="1:15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</row>
    <row r="454" spans="1:15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Librica</v>
      </c>
      <c r="O455" t="str">
        <f t="shared" si="23"/>
        <v>Light</v>
      </c>
    </row>
    <row r="456" spans="1:15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Librica</v>
      </c>
      <c r="O457" t="str">
        <f t="shared" si="23"/>
        <v>Light</v>
      </c>
    </row>
    <row r="458" spans="1:15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Librica</v>
      </c>
      <c r="O459" t="str">
        <f t="shared" si="23"/>
        <v>Light</v>
      </c>
    </row>
    <row r="460" spans="1:15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Librica</v>
      </c>
      <c r="O461" t="str">
        <f t="shared" si="23"/>
        <v>Light</v>
      </c>
    </row>
    <row r="462" spans="1:15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Librica</v>
      </c>
      <c r="O466" t="str">
        <f t="shared" si="23"/>
        <v>Dark</v>
      </c>
    </row>
    <row r="467" spans="1:15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Librica</v>
      </c>
      <c r="O473" t="str">
        <f t="shared" si="23"/>
        <v>Medium</v>
      </c>
    </row>
    <row r="474" spans="1:15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Librica</v>
      </c>
      <c r="O477" t="str">
        <f t="shared" si="23"/>
        <v>Medium</v>
      </c>
    </row>
    <row r="478" spans="1:15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Librica</v>
      </c>
      <c r="O479" t="str">
        <f t="shared" si="23"/>
        <v>Medium</v>
      </c>
    </row>
    <row r="480" spans="1:15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Librica</v>
      </c>
      <c r="O485" t="str">
        <f t="shared" si="23"/>
        <v>Dark</v>
      </c>
    </row>
    <row r="486" spans="1:15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Librica</v>
      </c>
      <c r="O486" t="str">
        <f t="shared" si="23"/>
        <v>Light</v>
      </c>
    </row>
    <row r="487" spans="1:15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Librica</v>
      </c>
      <c r="O488" t="str">
        <f t="shared" si="23"/>
        <v>Medium</v>
      </c>
    </row>
    <row r="489" spans="1:15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Librica</v>
      </c>
      <c r="O491" t="str">
        <f t="shared" si="23"/>
        <v>Light</v>
      </c>
    </row>
    <row r="492" spans="1:15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Librica</v>
      </c>
      <c r="O492" t="str">
        <f t="shared" si="23"/>
        <v>Dark</v>
      </c>
    </row>
    <row r="493" spans="1:15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Librica</v>
      </c>
      <c r="O493" t="str">
        <f t="shared" si="23"/>
        <v>Dark</v>
      </c>
    </row>
    <row r="494" spans="1:15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Librica</v>
      </c>
      <c r="O496" t="str">
        <f t="shared" si="23"/>
        <v>Light</v>
      </c>
    </row>
    <row r="497" spans="1:15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Librica</v>
      </c>
      <c r="O497" t="str">
        <f t="shared" si="23"/>
        <v>Light</v>
      </c>
    </row>
    <row r="498" spans="1:15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Librica</v>
      </c>
      <c r="O505" t="str">
        <f t="shared" si="23"/>
        <v>Dark</v>
      </c>
    </row>
    <row r="506" spans="1:15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Librica</v>
      </c>
      <c r="O506" t="str">
        <f t="shared" si="23"/>
        <v>Light</v>
      </c>
    </row>
    <row r="507" spans="1:15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Librica</v>
      </c>
      <c r="O507" t="str">
        <f t="shared" si="23"/>
        <v>Medium</v>
      </c>
    </row>
    <row r="508" spans="1:15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Librica</v>
      </c>
      <c r="O510" t="str">
        <f t="shared" si="23"/>
        <v>Dark</v>
      </c>
    </row>
    <row r="511" spans="1:15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Librica</v>
      </c>
      <c r="O514" t="str">
        <f t="shared" si="23"/>
        <v>Light</v>
      </c>
    </row>
    <row r="515" spans="1:15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IF(I515="Rob","Robusta",IF(I515="Exc","Excelsa",IF(I515="Ara","Arabica",IF(I515="Lib","Librica",""))))</f>
        <v>Librica</v>
      </c>
      <c r="O515" t="str">
        <f t="shared" ref="O515:O578" si="26">IF(J515="M","Medium",IF(J515="L","Light",IF(J515="D","Dark","")))</f>
        <v>Light</v>
      </c>
    </row>
    <row r="516" spans="1:15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Librica</v>
      </c>
      <c r="O516" t="str">
        <f t="shared" si="26"/>
        <v>Medium</v>
      </c>
    </row>
    <row r="517" spans="1:15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</row>
    <row r="518" spans="1:15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Librica</v>
      </c>
      <c r="O519" t="str">
        <f t="shared" si="26"/>
        <v>Dark</v>
      </c>
    </row>
    <row r="520" spans="1:15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Librica</v>
      </c>
      <c r="O522" t="str">
        <f t="shared" si="26"/>
        <v>Dark</v>
      </c>
    </row>
    <row r="523" spans="1:15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Librica</v>
      </c>
      <c r="O525" t="str">
        <f t="shared" si="26"/>
        <v>Dark</v>
      </c>
    </row>
    <row r="526" spans="1:15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Librica</v>
      </c>
      <c r="O526" t="str">
        <f t="shared" si="26"/>
        <v>Light</v>
      </c>
    </row>
    <row r="527" spans="1:15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Librica</v>
      </c>
      <c r="O537" t="str">
        <f t="shared" si="26"/>
        <v>Light</v>
      </c>
    </row>
    <row r="538" spans="1:15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Librica</v>
      </c>
      <c r="O542" t="str">
        <f t="shared" si="26"/>
        <v>Light</v>
      </c>
    </row>
    <row r="543" spans="1:15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Librica</v>
      </c>
      <c r="O547" t="str">
        <f t="shared" si="26"/>
        <v>Dark</v>
      </c>
    </row>
    <row r="548" spans="1:15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Librica</v>
      </c>
      <c r="O552" t="str">
        <f t="shared" si="26"/>
        <v>Dark</v>
      </c>
    </row>
    <row r="553" spans="1:15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Librica</v>
      </c>
      <c r="O558" t="str">
        <f t="shared" si="26"/>
        <v>Medium</v>
      </c>
    </row>
    <row r="559" spans="1:15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Librica</v>
      </c>
      <c r="O560" t="str">
        <f t="shared" si="26"/>
        <v>Dark</v>
      </c>
    </row>
    <row r="561" spans="1:15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Librica</v>
      </c>
      <c r="O564" t="str">
        <f t="shared" si="26"/>
        <v>Light</v>
      </c>
    </row>
    <row r="565" spans="1:15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Librica</v>
      </c>
      <c r="O570" t="str">
        <f t="shared" si="26"/>
        <v>Light</v>
      </c>
    </row>
    <row r="571" spans="1:15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Librica</v>
      </c>
      <c r="O577" t="str">
        <f t="shared" si="26"/>
        <v>Medium</v>
      </c>
    </row>
    <row r="578" spans="1:15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IF(I579="Rob","Robusta",IF(I579="Exc","Excelsa",IF(I579="Ara","Arabica",IF(I579="Lib","Librica",""))))</f>
        <v>Librica</v>
      </c>
      <c r="O579" t="str">
        <f t="shared" ref="O579:O642" si="29">IF(J579="M","Medium",IF(J579="L","Light",IF(J579="D","Dark","")))</f>
        <v>Medium</v>
      </c>
    </row>
    <row r="580" spans="1:15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</row>
    <row r="581" spans="1:15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</row>
    <row r="582" spans="1:15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Librica</v>
      </c>
      <c r="O589" t="str">
        <f t="shared" si="29"/>
        <v>Dark</v>
      </c>
    </row>
    <row r="590" spans="1:15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Librica</v>
      </c>
      <c r="O599" t="str">
        <f t="shared" si="29"/>
        <v>Light</v>
      </c>
    </row>
    <row r="600" spans="1:15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Librica</v>
      </c>
      <c r="O602" t="str">
        <f t="shared" si="29"/>
        <v>Dark</v>
      </c>
    </row>
    <row r="603" spans="1:15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Librica</v>
      </c>
      <c r="O606" t="str">
        <f t="shared" si="29"/>
        <v>Dark</v>
      </c>
    </row>
    <row r="607" spans="1:15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Librica</v>
      </c>
      <c r="O608" t="str">
        <f t="shared" si="29"/>
        <v>Light</v>
      </c>
    </row>
    <row r="609" spans="1:15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Librica</v>
      </c>
      <c r="O611" t="str">
        <f t="shared" si="29"/>
        <v>Medium</v>
      </c>
    </row>
    <row r="612" spans="1:15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Librica</v>
      </c>
      <c r="O617" t="str">
        <f t="shared" si="29"/>
        <v>Light</v>
      </c>
    </row>
    <row r="618" spans="1:15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Librica</v>
      </c>
      <c r="O619" t="str">
        <f t="shared" si="29"/>
        <v>Medium</v>
      </c>
    </row>
    <row r="620" spans="1:15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Librica</v>
      </c>
      <c r="O621" t="str">
        <f t="shared" si="29"/>
        <v>Dark</v>
      </c>
    </row>
    <row r="622" spans="1:15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Librica</v>
      </c>
      <c r="O624" t="str">
        <f t="shared" si="29"/>
        <v>Medium</v>
      </c>
    </row>
    <row r="625" spans="1:15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Librica</v>
      </c>
      <c r="O631" t="str">
        <f t="shared" si="29"/>
        <v>Dark</v>
      </c>
    </row>
    <row r="632" spans="1:15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Librica</v>
      </c>
      <c r="O636" t="str">
        <f t="shared" si="29"/>
        <v>Medium</v>
      </c>
    </row>
    <row r="637" spans="1:15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Librica</v>
      </c>
      <c r="O638" t="str">
        <f t="shared" si="29"/>
        <v>Light</v>
      </c>
    </row>
    <row r="639" spans="1:15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Librica</v>
      </c>
      <c r="O641" t="str">
        <f t="shared" si="29"/>
        <v>Dark</v>
      </c>
    </row>
    <row r="642" spans="1:15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IF(I643="Rob","Robusta",IF(I643="Exc","Excelsa",IF(I643="Ara","Arabica",IF(I643="Lib","Librica",""))))</f>
        <v>Robusta</v>
      </c>
      <c r="O643" t="str">
        <f t="shared" ref="O643:O706" si="32">IF(J643="M","Medium",IF(J643="L","Light",IF(J643="D","Dark","")))</f>
        <v>Light</v>
      </c>
    </row>
    <row r="644" spans="1:15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</row>
    <row r="645" spans="1:15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</row>
    <row r="646" spans="1:15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Librica</v>
      </c>
      <c r="O649" t="str">
        <f t="shared" si="32"/>
        <v>Light</v>
      </c>
    </row>
    <row r="650" spans="1:15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Librica</v>
      </c>
      <c r="O651" t="str">
        <f t="shared" si="32"/>
        <v>Light</v>
      </c>
    </row>
    <row r="652" spans="1:15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Librica</v>
      </c>
      <c r="O654" t="str">
        <f t="shared" si="32"/>
        <v>Light</v>
      </c>
    </row>
    <row r="655" spans="1:15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Librica</v>
      </c>
      <c r="O658" t="str">
        <f t="shared" si="32"/>
        <v>Dark</v>
      </c>
    </row>
    <row r="659" spans="1:15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Librica</v>
      </c>
      <c r="O664" t="str">
        <f t="shared" si="32"/>
        <v>Dark</v>
      </c>
    </row>
    <row r="665" spans="1:15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Librica</v>
      </c>
      <c r="O667" t="str">
        <f t="shared" si="32"/>
        <v>Dark</v>
      </c>
    </row>
    <row r="668" spans="1:15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Librica</v>
      </c>
      <c r="O671" t="str">
        <f t="shared" si="32"/>
        <v>Medium</v>
      </c>
    </row>
    <row r="672" spans="1:15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Librica</v>
      </c>
      <c r="O672" t="str">
        <f t="shared" si="32"/>
        <v>Medium</v>
      </c>
    </row>
    <row r="673" spans="1:15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Librica</v>
      </c>
      <c r="O674" t="str">
        <f t="shared" si="32"/>
        <v>Medium</v>
      </c>
    </row>
    <row r="675" spans="1:15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Librica</v>
      </c>
      <c r="O677" t="str">
        <f t="shared" si="32"/>
        <v>Dark</v>
      </c>
    </row>
    <row r="678" spans="1:15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Librica</v>
      </c>
      <c r="O678" t="str">
        <f t="shared" si="32"/>
        <v>Light</v>
      </c>
    </row>
    <row r="679" spans="1:15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Librica</v>
      </c>
      <c r="O679" t="str">
        <f t="shared" si="32"/>
        <v>Medium</v>
      </c>
    </row>
    <row r="680" spans="1:15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Librica</v>
      </c>
      <c r="O683" t="str">
        <f t="shared" si="32"/>
        <v>Light</v>
      </c>
    </row>
    <row r="684" spans="1:15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Librica</v>
      </c>
      <c r="O685" t="str">
        <f t="shared" si="32"/>
        <v>Dark</v>
      </c>
    </row>
    <row r="686" spans="1:15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Librica</v>
      </c>
      <c r="O687" t="str">
        <f t="shared" si="32"/>
        <v>Light</v>
      </c>
    </row>
    <row r="688" spans="1:15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Librica</v>
      </c>
      <c r="O692" t="str">
        <f t="shared" si="32"/>
        <v>Dark</v>
      </c>
    </row>
    <row r="693" spans="1:15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Librica</v>
      </c>
      <c r="O694" t="str">
        <f t="shared" si="32"/>
        <v>Dark</v>
      </c>
    </row>
    <row r="695" spans="1:15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Librica</v>
      </c>
      <c r="O697" t="str">
        <f t="shared" si="32"/>
        <v>Light</v>
      </c>
    </row>
    <row r="698" spans="1:15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Librica</v>
      </c>
      <c r="O698" t="str">
        <f t="shared" si="32"/>
        <v>Dark</v>
      </c>
    </row>
    <row r="699" spans="1:15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Librica</v>
      </c>
      <c r="O700" t="str">
        <f t="shared" si="32"/>
        <v>Dark</v>
      </c>
    </row>
    <row r="701" spans="1:15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Librica</v>
      </c>
      <c r="O702" t="str">
        <f t="shared" si="32"/>
        <v>Light</v>
      </c>
    </row>
    <row r="703" spans="1:15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Librica</v>
      </c>
      <c r="O705" t="str">
        <f t="shared" si="32"/>
        <v>Dark</v>
      </c>
    </row>
    <row r="706" spans="1:15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IF(I707="Rob","Robusta",IF(I707="Exc","Excelsa",IF(I707="Ara","Arabica",IF(I707="Lib","Librica",""))))</f>
        <v>Excelsa</v>
      </c>
      <c r="O707" t="str">
        <f t="shared" ref="O707:O770" si="35">IF(J707="M","Medium",IF(J707="L","Light",IF(J707="D","Dark","")))</f>
        <v>Light</v>
      </c>
    </row>
    <row r="708" spans="1:15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</row>
    <row r="709" spans="1:15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Librica</v>
      </c>
      <c r="O709" t="str">
        <f t="shared" si="35"/>
        <v>Dark</v>
      </c>
    </row>
    <row r="710" spans="1:15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Librica</v>
      </c>
      <c r="O720" t="str">
        <f t="shared" si="35"/>
        <v>Dark</v>
      </c>
    </row>
    <row r="721" spans="1:15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Librica</v>
      </c>
      <c r="O721" t="str">
        <f t="shared" si="35"/>
        <v>Light</v>
      </c>
    </row>
    <row r="722" spans="1:15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Librica</v>
      </c>
      <c r="O728" t="str">
        <f t="shared" si="35"/>
        <v>Light</v>
      </c>
    </row>
    <row r="729" spans="1:15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Librica</v>
      </c>
      <c r="O731" t="str">
        <f t="shared" si="35"/>
        <v>Medium</v>
      </c>
    </row>
    <row r="732" spans="1:15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Librica</v>
      </c>
      <c r="O732" t="str">
        <f t="shared" si="35"/>
        <v>Light</v>
      </c>
    </row>
    <row r="733" spans="1:15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Librica</v>
      </c>
      <c r="O733" t="str">
        <f t="shared" si="35"/>
        <v>Dark</v>
      </c>
    </row>
    <row r="734" spans="1:15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Librica</v>
      </c>
      <c r="O735" t="str">
        <f t="shared" si="35"/>
        <v>Medium</v>
      </c>
    </row>
    <row r="736" spans="1:15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Librica</v>
      </c>
      <c r="O738" t="str">
        <f t="shared" si="35"/>
        <v>Dark</v>
      </c>
    </row>
    <row r="739" spans="1:15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Librica</v>
      </c>
      <c r="O743" t="str">
        <f t="shared" si="35"/>
        <v>Medium</v>
      </c>
    </row>
    <row r="744" spans="1:15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Librica</v>
      </c>
      <c r="O744" t="str">
        <f t="shared" si="35"/>
        <v>Medium</v>
      </c>
    </row>
    <row r="745" spans="1:15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Librica</v>
      </c>
      <c r="O749" t="str">
        <f t="shared" si="35"/>
        <v>Medium</v>
      </c>
    </row>
    <row r="750" spans="1:15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Librica</v>
      </c>
      <c r="O753" t="str">
        <f t="shared" si="35"/>
        <v>Light</v>
      </c>
    </row>
    <row r="754" spans="1:15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Librica</v>
      </c>
      <c r="O757" t="str">
        <f t="shared" si="35"/>
        <v>Light</v>
      </c>
    </row>
    <row r="758" spans="1:15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Librica</v>
      </c>
      <c r="O761" t="str">
        <f t="shared" si="35"/>
        <v>Dark</v>
      </c>
    </row>
    <row r="762" spans="1:15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Librica</v>
      </c>
      <c r="O764" t="str">
        <f t="shared" si="35"/>
        <v>Medium</v>
      </c>
    </row>
    <row r="765" spans="1:15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IF(I771="Rob","Robusta",IF(I771="Exc","Excelsa",IF(I771="Ara","Arabica",IF(I771="Lib","Librica",""))))</f>
        <v>Robusta</v>
      </c>
      <c r="O771" t="str">
        <f t="shared" ref="O771:O834" si="38">IF(J771="M","Medium",IF(J771="L","Light",IF(J771="D","Dark","")))</f>
        <v>Medium</v>
      </c>
    </row>
    <row r="772" spans="1:15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</row>
    <row r="773" spans="1:15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</row>
    <row r="774" spans="1:15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Librica</v>
      </c>
      <c r="O775" t="str">
        <f t="shared" si="38"/>
        <v>Medium</v>
      </c>
    </row>
    <row r="776" spans="1:15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Librica</v>
      </c>
      <c r="O780" t="str">
        <f t="shared" si="38"/>
        <v>Light</v>
      </c>
    </row>
    <row r="781" spans="1:15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Librica</v>
      </c>
      <c r="O781" t="str">
        <f t="shared" si="38"/>
        <v>Dark</v>
      </c>
    </row>
    <row r="782" spans="1:15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Librica</v>
      </c>
      <c r="O783" t="str">
        <f t="shared" si="38"/>
        <v>Light</v>
      </c>
    </row>
    <row r="784" spans="1:15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Librica</v>
      </c>
      <c r="O785" t="str">
        <f t="shared" si="38"/>
        <v>Medium</v>
      </c>
    </row>
    <row r="786" spans="1:15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Librica</v>
      </c>
      <c r="O786" t="str">
        <f t="shared" si="38"/>
        <v>Light</v>
      </c>
    </row>
    <row r="787" spans="1:15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Librica</v>
      </c>
      <c r="O793" t="str">
        <f t="shared" si="38"/>
        <v>Light</v>
      </c>
    </row>
    <row r="794" spans="1:15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Librica</v>
      </c>
      <c r="O794" t="str">
        <f t="shared" si="38"/>
        <v>Medium</v>
      </c>
    </row>
    <row r="795" spans="1:15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Librica</v>
      </c>
      <c r="O798" t="str">
        <f t="shared" si="38"/>
        <v>Light</v>
      </c>
    </row>
    <row r="799" spans="1:15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Librica</v>
      </c>
      <c r="O808" t="str">
        <f t="shared" si="38"/>
        <v>Dark</v>
      </c>
    </row>
    <row r="809" spans="1:15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Librica</v>
      </c>
      <c r="O809" t="str">
        <f t="shared" si="38"/>
        <v>Dark</v>
      </c>
    </row>
    <row r="810" spans="1:15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Librica</v>
      </c>
      <c r="O812" t="str">
        <f t="shared" si="38"/>
        <v>Light</v>
      </c>
    </row>
    <row r="813" spans="1:15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Librica</v>
      </c>
      <c r="O814" t="str">
        <f t="shared" si="38"/>
        <v>Dark</v>
      </c>
    </row>
    <row r="815" spans="1:15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Librica</v>
      </c>
      <c r="O818" t="str">
        <f t="shared" si="38"/>
        <v>Light</v>
      </c>
    </row>
    <row r="819" spans="1:15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Librica</v>
      </c>
      <c r="O819" t="str">
        <f t="shared" si="38"/>
        <v>Dark</v>
      </c>
    </row>
    <row r="820" spans="1:15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Librica</v>
      </c>
      <c r="O820" t="str">
        <f t="shared" si="38"/>
        <v>Light</v>
      </c>
    </row>
    <row r="821" spans="1:15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Librica</v>
      </c>
      <c r="O821" t="str">
        <f t="shared" si="38"/>
        <v>Light</v>
      </c>
    </row>
    <row r="822" spans="1:15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Librica</v>
      </c>
      <c r="O825" t="str">
        <f t="shared" si="38"/>
        <v>Light</v>
      </c>
    </row>
    <row r="826" spans="1:15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IF(I835="Rob","Robusta",IF(I835="Exc","Excelsa",IF(I835="Ara","Arabica",IF(I835="Lib","Librica",""))))</f>
        <v>Robusta</v>
      </c>
      <c r="O835" t="str">
        <f t="shared" ref="O835:O898" si="41">IF(J835="M","Medium",IF(J835="L","Light",IF(J835="D","Dark","")))</f>
        <v>Dark</v>
      </c>
    </row>
    <row r="836" spans="1:15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</row>
    <row r="837" spans="1:15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</row>
    <row r="838" spans="1:15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Librica</v>
      </c>
      <c r="O839" t="str">
        <f t="shared" si="41"/>
        <v>Medium</v>
      </c>
    </row>
    <row r="840" spans="1:15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Librica</v>
      </c>
      <c r="O843" t="str">
        <f t="shared" si="41"/>
        <v>Medium</v>
      </c>
    </row>
    <row r="844" spans="1:15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Librica</v>
      </c>
      <c r="O853" t="str">
        <f t="shared" si="41"/>
        <v>Dark</v>
      </c>
    </row>
    <row r="854" spans="1:15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Librica</v>
      </c>
      <c r="O854" t="str">
        <f t="shared" si="41"/>
        <v>Dark</v>
      </c>
    </row>
    <row r="855" spans="1:15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Librica</v>
      </c>
      <c r="O857" t="str">
        <f t="shared" si="41"/>
        <v>Dark</v>
      </c>
    </row>
    <row r="858" spans="1:15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Librica</v>
      </c>
      <c r="O858" t="str">
        <f t="shared" si="41"/>
        <v>Medium</v>
      </c>
    </row>
    <row r="859" spans="1:15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Librica</v>
      </c>
      <c r="O860" t="str">
        <f t="shared" si="41"/>
        <v>Medium</v>
      </c>
    </row>
    <row r="861" spans="1:15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Librica</v>
      </c>
      <c r="O863" t="str">
        <f t="shared" si="41"/>
        <v>Dark</v>
      </c>
    </row>
    <row r="864" spans="1:15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Librica</v>
      </c>
      <c r="O865" t="str">
        <f t="shared" si="41"/>
        <v>Medium</v>
      </c>
    </row>
    <row r="866" spans="1:15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Librica</v>
      </c>
      <c r="O877" t="str">
        <f t="shared" si="41"/>
        <v>Medium</v>
      </c>
    </row>
    <row r="878" spans="1:15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Librica</v>
      </c>
      <c r="O879" t="str">
        <f t="shared" si="41"/>
        <v>Light</v>
      </c>
    </row>
    <row r="880" spans="1:15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Librica</v>
      </c>
      <c r="O888" t="str">
        <f t="shared" si="41"/>
        <v>Medium</v>
      </c>
    </row>
    <row r="889" spans="1:15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Librica</v>
      </c>
      <c r="O895" t="str">
        <f t="shared" si="41"/>
        <v>Light</v>
      </c>
    </row>
    <row r="896" spans="1:15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IF(I899="Rob","Robusta",IF(I899="Exc","Excelsa",IF(I899="Ara","Arabica",IF(I899="Lib","Librica",""))))</f>
        <v>Excelsa</v>
      </c>
      <c r="O899" t="str">
        <f t="shared" ref="O899:O962" si="44">IF(J899="M","Medium",IF(J899="L","Light",IF(J899="D","Dark","")))</f>
        <v>Dark</v>
      </c>
    </row>
    <row r="900" spans="1:15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</row>
    <row r="901" spans="1:15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Librica</v>
      </c>
      <c r="O901" t="str">
        <f t="shared" si="44"/>
        <v>Medium</v>
      </c>
    </row>
    <row r="902" spans="1:15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Librica</v>
      </c>
      <c r="O902" t="str">
        <f t="shared" si="44"/>
        <v>Light</v>
      </c>
    </row>
    <row r="903" spans="1:15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Librica</v>
      </c>
      <c r="O905" t="str">
        <f t="shared" si="44"/>
        <v>Medium</v>
      </c>
    </row>
    <row r="906" spans="1:15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Librica</v>
      </c>
      <c r="O909" t="str">
        <f t="shared" si="44"/>
        <v>Dark</v>
      </c>
    </row>
    <row r="910" spans="1:15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Librica</v>
      </c>
      <c r="O923" t="str">
        <f t="shared" si="44"/>
        <v>Dark</v>
      </c>
    </row>
    <row r="924" spans="1:15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Librica</v>
      </c>
      <c r="O938" t="str">
        <f t="shared" si="44"/>
        <v>Dark</v>
      </c>
    </row>
    <row r="939" spans="1:15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Librica</v>
      </c>
      <c r="O941" t="str">
        <f t="shared" si="44"/>
        <v>Light</v>
      </c>
    </row>
    <row r="942" spans="1:15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Librica</v>
      </c>
      <c r="O947" t="str">
        <f t="shared" si="44"/>
        <v>Dark</v>
      </c>
    </row>
    <row r="948" spans="1:15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Librica</v>
      </c>
      <c r="O948" t="str">
        <f t="shared" si="44"/>
        <v>Dark</v>
      </c>
    </row>
    <row r="949" spans="1:15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Librica</v>
      </c>
      <c r="O961" t="str">
        <f t="shared" si="44"/>
        <v>Light</v>
      </c>
    </row>
    <row r="962" spans="1:15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Librica</v>
      </c>
      <c r="O962" t="str">
        <f t="shared" si="44"/>
        <v>Light</v>
      </c>
    </row>
    <row r="963" spans="1:15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IF(I963="Rob","Robusta",IF(I963="Exc","Excelsa",IF(I963="Ara","Arabica",IF(I963="Lib","Librica",""))))</f>
        <v>Arabica</v>
      </c>
      <c r="O963" t="str">
        <f t="shared" ref="O963:O1001" si="47">IF(J963="M","Medium",IF(J963="L","Light",IF(J963="D","Dark","")))</f>
        <v>Dark</v>
      </c>
    </row>
    <row r="964" spans="1:15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</row>
    <row r="965" spans="1:15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</row>
    <row r="966" spans="1:15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Librica</v>
      </c>
      <c r="O971" t="str">
        <f t="shared" si="47"/>
        <v>Dark</v>
      </c>
    </row>
    <row r="972" spans="1:15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Librica</v>
      </c>
      <c r="O975" t="str">
        <f t="shared" si="47"/>
        <v>Medium</v>
      </c>
    </row>
    <row r="976" spans="1:15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Librica</v>
      </c>
      <c r="O988" t="str">
        <f t="shared" si="47"/>
        <v>Medium</v>
      </c>
    </row>
    <row r="989" spans="1:15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Librica</v>
      </c>
      <c r="O993" t="str">
        <f t="shared" si="47"/>
        <v>Dark</v>
      </c>
    </row>
    <row r="994" spans="1:15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Librica</v>
      </c>
      <c r="O994" t="str">
        <f t="shared" si="47"/>
        <v>Light</v>
      </c>
    </row>
    <row r="995" spans="1:15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Areej Mohamed Elshebly</cp:lastModifiedBy>
  <cp:revision/>
  <dcterms:created xsi:type="dcterms:W3CDTF">2022-11-26T09:51:45Z</dcterms:created>
  <dcterms:modified xsi:type="dcterms:W3CDTF">2026-02-27T21:39:16Z</dcterms:modified>
  <cp:category/>
  <cp:contentStatus/>
</cp:coreProperties>
</file>